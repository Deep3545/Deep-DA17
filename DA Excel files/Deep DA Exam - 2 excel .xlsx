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0480d2dc3f303/Desktop/"/>
    </mc:Choice>
  </mc:AlternateContent>
  <xr:revisionPtr revIDLastSave="274" documentId="8_{FE95F20A-80BD-4EF7-9588-C6B1E2535F33}" xr6:coauthVersionLast="47" xr6:coauthVersionMax="47" xr10:uidLastSave="{E9DB9DA6-0741-4005-A78C-4FAA4671F038}"/>
  <bookViews>
    <workbookView xWindow="-108" yWindow="-108" windowWidth="23256" windowHeight="12456" activeTab="2" xr2:uid="{B47E62D8-FC3B-48D0-ACEC-966F1201455D}"/>
  </bookViews>
  <sheets>
    <sheet name="Statistics" sheetId="1" r:id="rId1"/>
    <sheet name="Section - B" sheetId="2" r:id="rId2"/>
    <sheet name="Section - C " sheetId="3" r:id="rId3"/>
    <sheet name="Sheet3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2" l="1"/>
  <c r="D25" i="2"/>
  <c r="D26" i="2"/>
  <c r="D27" i="2"/>
  <c r="D28" i="2"/>
  <c r="D29" i="2"/>
  <c r="D30" i="2"/>
  <c r="D31" i="2"/>
  <c r="D32" i="2"/>
  <c r="D33" i="2"/>
  <c r="D24" i="2"/>
  <c r="C20" i="2"/>
  <c r="I4" i="2"/>
  <c r="I5" i="2"/>
  <c r="I6" i="2"/>
  <c r="I7" i="2"/>
  <c r="I8" i="2"/>
  <c r="I9" i="2"/>
  <c r="I10" i="2"/>
  <c r="I11" i="2"/>
  <c r="I12" i="2"/>
  <c r="I13" i="2"/>
  <c r="C19" i="2"/>
  <c r="C18" i="2"/>
  <c r="C17" i="2"/>
  <c r="C16" i="2"/>
  <c r="C15" i="2"/>
  <c r="D37" i="1"/>
  <c r="F30" i="1"/>
  <c r="F31" i="1"/>
  <c r="F32" i="1"/>
  <c r="F33" i="1"/>
  <c r="F34" i="1"/>
  <c r="F29" i="1"/>
  <c r="F35" i="1" s="1"/>
  <c r="D35" i="1"/>
  <c r="H15" i="1"/>
  <c r="G15" i="1"/>
  <c r="F15" i="1"/>
  <c r="E15" i="1"/>
</calcChain>
</file>

<file path=xl/sharedStrings.xml><?xml version="1.0" encoding="utf-8"?>
<sst xmlns="http://schemas.openxmlformats.org/spreadsheetml/2006/main" count="155" uniqueCount="93">
  <si>
    <t>1) Median</t>
  </si>
  <si>
    <t>2) Variance</t>
  </si>
  <si>
    <t>3) Pie Chart</t>
  </si>
  <si>
    <t>4) Total Observations</t>
  </si>
  <si>
    <t>5) Highest - Lowest</t>
  </si>
  <si>
    <t>MCQs Part - A</t>
  </si>
  <si>
    <t>SECTION - A</t>
  </si>
  <si>
    <t xml:space="preserve">Part - B </t>
  </si>
  <si>
    <t>Student</t>
  </si>
  <si>
    <t>Marks</t>
  </si>
  <si>
    <t>---------</t>
  </si>
  <si>
    <t>-------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</si>
  <si>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</si>
  <si>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</si>
  <si>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</si>
  <si>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</si>
  <si>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</si>
  <si>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</si>
  <si>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</si>
  <si>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</si>
  <si>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</si>
  <si>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</si>
  <si>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MEAN</t>
  </si>
  <si>
    <t>MEDIAN</t>
  </si>
  <si>
    <t>MODE</t>
  </si>
  <si>
    <t>RANGE</t>
  </si>
  <si>
    <t xml:space="preserve">Q - 3 Grouped Data </t>
  </si>
  <si>
    <t>Frequency</t>
  </si>
  <si>
    <t>----------------</t>
  </si>
  <si>
    <t>-----------</t>
  </si>
  <si>
    <t>0--10</t>
  </si>
  <si>
    <t>10--20</t>
  </si>
  <si>
    <t>20--30</t>
  </si>
  <si>
    <t>30--40</t>
  </si>
  <si>
    <t>40--50</t>
  </si>
  <si>
    <t>50--60</t>
  </si>
  <si>
    <t>Class Interval</t>
  </si>
  <si>
    <t>Mid Point</t>
  </si>
  <si>
    <t>fixi</t>
  </si>
  <si>
    <t>Column1</t>
  </si>
  <si>
    <t>Column2</t>
  </si>
  <si>
    <t>Column3</t>
  </si>
  <si>
    <t>Column4</t>
  </si>
  <si>
    <t>Mean</t>
  </si>
  <si>
    <t>Q - 2 Ungrouped Data</t>
  </si>
  <si>
    <t xml:space="preserve"> </t>
  </si>
  <si>
    <t xml:space="preserve">Section - B </t>
  </si>
  <si>
    <t>Emp id</t>
  </si>
  <si>
    <t>Rahul</t>
  </si>
  <si>
    <t>Sales</t>
  </si>
  <si>
    <t>Ahmedabad</t>
  </si>
  <si>
    <t>Priya</t>
  </si>
  <si>
    <t>HR</t>
  </si>
  <si>
    <t>Mumbai</t>
  </si>
  <si>
    <t>Amit</t>
  </si>
  <si>
    <t>IT</t>
  </si>
  <si>
    <t>Pune</t>
  </si>
  <si>
    <t>Sneha</t>
  </si>
  <si>
    <t>Finance</t>
  </si>
  <si>
    <t>Delhi</t>
  </si>
  <si>
    <t>Karan</t>
  </si>
  <si>
    <t>Jaipur</t>
  </si>
  <si>
    <t>Neha</t>
  </si>
  <si>
    <t>Mohit</t>
  </si>
  <si>
    <t>Surat</t>
  </si>
  <si>
    <t>Riya</t>
  </si>
  <si>
    <t>Ajay</t>
  </si>
  <si>
    <t>Pooja</t>
  </si>
  <si>
    <t>Name</t>
  </si>
  <si>
    <t>Dept</t>
  </si>
  <si>
    <t xml:space="preserve">City </t>
  </si>
  <si>
    <t>Salary</t>
  </si>
  <si>
    <t>Experience</t>
  </si>
  <si>
    <t xml:space="preserve">Joining year </t>
  </si>
  <si>
    <t>Avg Salary</t>
  </si>
  <si>
    <t>Highest Salary</t>
  </si>
  <si>
    <t>Lowest Salary</t>
  </si>
  <si>
    <t>Tot Salary</t>
  </si>
  <si>
    <t>Count of employees</t>
  </si>
  <si>
    <t>IF</t>
  </si>
  <si>
    <t>Count If</t>
  </si>
  <si>
    <t>Sum If</t>
  </si>
  <si>
    <t>Vlookup</t>
  </si>
  <si>
    <t>VLOOKUP</t>
  </si>
  <si>
    <t>XLOOKUP</t>
  </si>
  <si>
    <t>1)</t>
  </si>
  <si>
    <t>EmpID</t>
  </si>
  <si>
    <t>Department</t>
  </si>
  <si>
    <t>City</t>
  </si>
  <si>
    <t>Joining Year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</si>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</sst>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1F232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/>
    <xf numFmtId="0" fontId="0" fillId="4" borderId="1" xfId="0" applyFont="1" applyFill="1" applyBorder="1"/>
    <xf numFmtId="0" fontId="0" fillId="0" borderId="1" xfId="0" applyFont="1" applyBorder="1"/>
    <xf numFmtId="0" fontId="1" fillId="3" borderId="2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0" fillId="5" borderId="0" xfId="0" applyFill="1" applyAlignment="1">
      <alignment horizontal="center"/>
    </xf>
    <xf numFmtId="0" fontId="2" fillId="0" borderId="0" xfId="0" applyFont="1" applyAlignment="1">
      <alignment horizontal="left" vertical="center" indent="1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Statistics exam.xlsx]Sheet3!PivotTable1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101000</c:v>
                </c:pt>
                <c:pt idx="1">
                  <c:v>117000</c:v>
                </c:pt>
                <c:pt idx="2">
                  <c:v>231000</c:v>
                </c:pt>
                <c:pt idx="3">
                  <c:v>127000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8-4428-9249-5E871219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</xdr:row>
      <xdr:rowOff>83820</xdr:rowOff>
    </xdr:from>
    <xdr:to>
      <xdr:col>6</xdr:col>
      <xdr:colOff>426720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7A6B9-4FDC-5F56-8A95-5C2AB6483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 Barot" refreshedDate="46286.661644675929" createdVersion="8" refreshedVersion="8" minRefreshableVersion="3" recordCount="10" xr:uid="{9E20D319-9F8F-4BCB-8EC7-407C9862C539}">
  <cacheSource type="worksheet">
    <worksheetSource name="Table6"/>
  </cacheSource>
  <cacheFields count="7">
    <cacheField name="EmpID" numFmtId="0">
      <sharedItems containsSemiMixedTypes="0" containsString="0" containsNumber="1" containsInteger="1" minValue="101" maxValue="110"/>
    </cacheField>
    <cacheField name="Name" numFmtId="0">
      <sharedItems/>
    </cacheField>
    <cacheField name="Department" numFmtId="0">
      <sharedItems count="4">
        <s v="IT"/>
        <s v="HR"/>
        <s v="Finance"/>
        <s v="Sales"/>
      </sharedItems>
    </cacheField>
    <cacheField name="City" numFmtId="0">
      <sharedItems/>
    </cacheField>
    <cacheField name="Salary" numFmtId="0">
      <sharedItems containsSemiMixedTypes="0" containsString="0" containsNumber="1" containsInteger="1" minValue="38000" maxValue="85000"/>
    </cacheField>
    <cacheField name="Experience" numFmtId="0">
      <sharedItems containsSemiMixedTypes="0" containsString="0" containsNumber="1" containsInteger="1" minValue="1" maxValue="8"/>
    </cacheField>
    <cacheField name="Joining Year" numFmtId="0">
      <sharedItems containsSemiMixedTypes="0" containsString="0" containsNumber="1" containsInteger="1" minValue="2016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7"/>
    <s v="Mohit"/>
    <x v="0"/>
    <s v="Surat"/>
    <n v="85000"/>
    <n v="8"/>
    <n v="2016"/>
  </r>
  <r>
    <n v="109"/>
    <s v="Ajay"/>
    <x v="0"/>
    <s v="Delhi"/>
    <n v="76000"/>
    <n v="6"/>
    <n v="2018"/>
  </r>
  <r>
    <n v="103"/>
    <s v="Amit"/>
    <x v="0"/>
    <s v="Pune"/>
    <n v="70000"/>
    <n v="6"/>
    <n v="2018"/>
  </r>
  <r>
    <n v="106"/>
    <s v="Neha"/>
    <x v="1"/>
    <s v="Ahmedabad"/>
    <n v="62000"/>
    <n v="7"/>
    <n v="2017"/>
  </r>
  <r>
    <n v="102"/>
    <s v="Priya"/>
    <x v="1"/>
    <s v="Mumbai"/>
    <n v="55000"/>
    <n v="5"/>
    <n v="2019"/>
  </r>
  <r>
    <n v="108"/>
    <s v="Riya"/>
    <x v="2"/>
    <s v="Mumbai"/>
    <n v="53000"/>
    <n v="4"/>
    <n v="2020"/>
  </r>
  <r>
    <n v="104"/>
    <s v="Sneha"/>
    <x v="2"/>
    <s v="Delhi"/>
    <n v="48000"/>
    <n v="3"/>
    <n v="2021"/>
  </r>
  <r>
    <n v="110"/>
    <s v="Pooja"/>
    <x v="3"/>
    <s v="Ahmedabad"/>
    <n v="47000"/>
    <n v="3"/>
    <n v="2021"/>
  </r>
  <r>
    <n v="101"/>
    <s v="Rahul"/>
    <x v="3"/>
    <s v="Ahmedabad"/>
    <n v="42000"/>
    <n v="2"/>
    <n v="2022"/>
  </r>
  <r>
    <n v="105"/>
    <s v="Karan"/>
    <x v="3"/>
    <s v="Jaipur"/>
    <n v="38000"/>
    <n v="1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AE21E-12B9-42C2-A093-187D6CC5EB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417370-74DC-4726-A02A-C38EC0A0C80C}" name="Table3" displayName="Table3" ref="B11:C22" totalsRowShown="0">
  <autoFilter ref="B11:C22" xr:uid="{22417370-74DC-4726-A02A-C38EC0A0C80C}"/>
  <tableColumns count="2">
    <tableColumn id="1" xr3:uid="{3D2003D1-5260-4C30-9E93-258B323B5A7B}" name="Student"/>
    <tableColumn id="2" xr3:uid="{24A996B2-2447-4369-9DC0-5EC54F243877}" name="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22943-3A84-418D-8AA3-8A0F16D4969B}" name="Table1" displayName="Table1" ref="C26:F34" totalsRowShown="0">
  <autoFilter ref="C26:F34" xr:uid="{0DA22943-3A84-418D-8AA3-8A0F16D4969B}"/>
  <tableColumns count="4">
    <tableColumn id="1" xr3:uid="{FFD3F7B3-D139-49EC-9237-79BB8223CC89}" name="Column1"/>
    <tableColumn id="2" xr3:uid="{1AA7B9E8-9223-48D5-A160-2F423BBE66C9}" name="Column2"/>
    <tableColumn id="3" xr3:uid="{F663457A-CCD1-4C65-8068-B035C9BD136E}" name="Column3"/>
    <tableColumn id="4" xr3:uid="{88B0CD62-55B7-4DEA-89C0-6698696A4290}" name="Column4">
      <calculatedColumnFormula>D27*E27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E478FE-5BF8-4886-868A-CB4475FAAAC0}" name="Table5" displayName="Table5" ref="B3:J13" totalsRowShown="0">
  <autoFilter ref="B3:J13" xr:uid="{29E478FE-5BF8-4886-868A-CB4475FAAAC0}"/>
  <tableColumns count="9">
    <tableColumn id="1" xr3:uid="{A16AFA3A-2FF8-46B2-B9A9-179874DDACF4}" name="Emp id"/>
    <tableColumn id="2" xr3:uid="{B50B5901-C74F-434F-8D71-80151BA316DA}" name="Name"/>
    <tableColumn id="3" xr3:uid="{6D9C7B47-0C8A-41FF-B8F2-01C32A8CC6AB}" name="Dept"/>
    <tableColumn id="4" xr3:uid="{9474A610-459C-4944-ACA6-E8CB12A901CE}" name="City "/>
    <tableColumn id="5" xr3:uid="{069BB9A2-17D4-4AF0-B714-D22929E7A6F0}" name="Salary"/>
    <tableColumn id="6" xr3:uid="{9F7DA7DB-180F-40C6-99F8-9D4F3314D254}" name="Experience"/>
    <tableColumn id="7" xr3:uid="{EAA844E8-A3E9-4229-9403-F2D92E6961C0}" name="Joining year "/>
    <tableColumn id="8" xr3:uid="{FD8FE554-7ED2-45C7-9BF7-E6F35E9563BD}" name="IF" dataDxfId="12">
      <calculatedColumnFormula>IF(Table5[[#This Row],[Salary]]&gt;50000, "High", "Low")</calculatedColumnFormula>
    </tableColumn>
    <tableColumn id="9" xr3:uid="{DB550F4C-608A-4E35-9E51-D86172D7ACF3}" name="Column1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04E352-3CC3-4AD4-BA78-CD149334D5F2}" name="Table6" displayName="Table6" ref="B2:H12" totalsRowShown="0" headerRowDxfId="1" headerRowBorderDxfId="10" tableBorderDxfId="11" totalsRowBorderDxfId="9">
  <autoFilter ref="B2:H12" xr:uid="{4C04E352-3CC3-4AD4-BA78-CD149334D5F2}"/>
  <sortState xmlns:xlrd2="http://schemas.microsoft.com/office/spreadsheetml/2017/richdata2" ref="B3:H12">
    <sortCondition descending="1" ref="F2:F12"/>
  </sortState>
  <tableColumns count="7">
    <tableColumn id="1" xr3:uid="{FFF20299-15C7-48A2-B291-09679EE8306E}" name="EmpID" dataDxfId="8"/>
    <tableColumn id="2" xr3:uid="{B25DD571-A9C5-4C7F-ACE9-248B708D3ADA}" name="Name" dataDxfId="7"/>
    <tableColumn id="3" xr3:uid="{6CF76E19-7258-4EF5-9BE7-B695083E3468}" name="Department" dataDxfId="6"/>
    <tableColumn id="4" xr3:uid="{A525BF88-AE63-4AB1-9474-0A246688C402}" name="City" dataDxfId="5"/>
    <tableColumn id="5" xr3:uid="{B5485649-32CB-4AB0-BD9C-1C6258B4895D}" name="Salary" dataDxfId="4"/>
    <tableColumn id="6" xr3:uid="{36143630-58D8-4811-8E9B-5FA8601D38E4}" name="Experience" dataDxfId="3"/>
    <tableColumn id="7" xr3:uid="{E08C81E0-8A10-49D6-A57B-D21171BA82E9}" name="Joining 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6C3B-19B6-4993-ADCF-EA8DC393D82B}">
  <dimension ref="A1:H39"/>
  <sheetViews>
    <sheetView workbookViewId="0">
      <selection activeCell="H19" sqref="H19"/>
    </sheetView>
  </sheetViews>
  <sheetFormatPr defaultRowHeight="14.4" x14ac:dyDescent="0.3"/>
  <cols>
    <col min="1" max="1" width="18.5546875" customWidth="1"/>
    <col min="2" max="2" width="9.5546875" customWidth="1"/>
    <col min="3" max="3" width="13.21875" customWidth="1"/>
    <col min="4" max="4" width="11.6640625" customWidth="1"/>
    <col min="5" max="6" width="10.44140625" customWidth="1"/>
  </cols>
  <sheetData>
    <row r="1" spans="1:8" x14ac:dyDescent="0.3">
      <c r="A1" s="2" t="s">
        <v>6</v>
      </c>
    </row>
    <row r="2" spans="1:8" x14ac:dyDescent="0.3">
      <c r="A2" s="1" t="s">
        <v>5</v>
      </c>
    </row>
    <row r="3" spans="1:8" x14ac:dyDescent="0.3">
      <c r="A3" t="s">
        <v>0</v>
      </c>
    </row>
    <row r="4" spans="1:8" x14ac:dyDescent="0.3">
      <c r="A4" t="s">
        <v>1</v>
      </c>
    </row>
    <row r="5" spans="1:8" x14ac:dyDescent="0.3">
      <c r="A5" t="s">
        <v>2</v>
      </c>
      <c r="E5" s="1"/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A9" s="1" t="s">
        <v>7</v>
      </c>
    </row>
    <row r="10" spans="1:8" x14ac:dyDescent="0.3">
      <c r="A10" t="s">
        <v>44</v>
      </c>
    </row>
    <row r="11" spans="1:8" x14ac:dyDescent="0.3">
      <c r="B11" t="s">
        <v>8</v>
      </c>
      <c r="C11" t="s">
        <v>9</v>
      </c>
    </row>
    <row r="12" spans="1:8" x14ac:dyDescent="0.3">
      <c r="B12" t="s">
        <v>10</v>
      </c>
      <c r="C12" t="s">
        <v>11</v>
      </c>
    </row>
    <row r="13" spans="1:8" x14ac:dyDescent="0.3">
      <c r="B13" t="s">
        <v>12</v>
      </c>
      <c r="C13">
        <v>65</v>
      </c>
    </row>
    <row r="14" spans="1:8" x14ac:dyDescent="0.3">
      <c r="B14" t="s">
        <v>13</v>
      </c>
      <c r="C14">
        <v>70</v>
      </c>
      <c r="E14" t="s">
        <v>22</v>
      </c>
      <c r="F14" t="s">
        <v>23</v>
      </c>
      <c r="G14" t="s">
        <v>24</v>
      </c>
      <c r="H14" t="s">
        <v>25</v>
      </c>
    </row>
    <row r="15" spans="1:8" x14ac:dyDescent="0.3">
      <c r="B15" t="s">
        <v>14</v>
      </c>
      <c r="C15">
        <v>72</v>
      </c>
      <c r="E15">
        <f>AVERAGE(C13:C22)</f>
        <v>73</v>
      </c>
      <c r="F15">
        <f>MEDIAN(C13:C22)</f>
        <v>71</v>
      </c>
      <c r="G15">
        <f>MODE(C13:C22)</f>
        <v>70</v>
      </c>
      <c r="H15">
        <f>C21-C13</f>
        <v>25</v>
      </c>
    </row>
    <row r="16" spans="1:8" x14ac:dyDescent="0.3">
      <c r="B16" t="s">
        <v>15</v>
      </c>
      <c r="C16">
        <v>68</v>
      </c>
    </row>
    <row r="17" spans="1:6" x14ac:dyDescent="0.3">
      <c r="B17" t="s">
        <v>16</v>
      </c>
      <c r="C17">
        <v>75</v>
      </c>
    </row>
    <row r="18" spans="1:6" x14ac:dyDescent="0.3">
      <c r="B18" t="s">
        <v>17</v>
      </c>
      <c r="C18">
        <v>80</v>
      </c>
    </row>
    <row r="19" spans="1:6" x14ac:dyDescent="0.3">
      <c r="B19" t="s">
        <v>18</v>
      </c>
      <c r="C19">
        <v>72</v>
      </c>
    </row>
    <row r="20" spans="1:6" x14ac:dyDescent="0.3">
      <c r="B20" t="s">
        <v>19</v>
      </c>
      <c r="C20">
        <v>68</v>
      </c>
    </row>
    <row r="21" spans="1:6" x14ac:dyDescent="0.3">
      <c r="B21" t="s">
        <v>20</v>
      </c>
      <c r="C21">
        <v>90</v>
      </c>
    </row>
    <row r="22" spans="1:6" x14ac:dyDescent="0.3">
      <c r="B22" t="s">
        <v>21</v>
      </c>
      <c r="C22">
        <v>70</v>
      </c>
    </row>
    <row r="24" spans="1:6" x14ac:dyDescent="0.3">
      <c r="A24" t="s">
        <v>26</v>
      </c>
    </row>
    <row r="26" spans="1:6" x14ac:dyDescent="0.3">
      <c r="C26" t="s">
        <v>39</v>
      </c>
      <c r="D26" t="s">
        <v>40</v>
      </c>
      <c r="E26" t="s">
        <v>41</v>
      </c>
      <c r="F26" t="s">
        <v>42</v>
      </c>
    </row>
    <row r="27" spans="1:6" x14ac:dyDescent="0.3">
      <c r="C27" t="s">
        <v>36</v>
      </c>
      <c r="D27" t="s">
        <v>27</v>
      </c>
      <c r="E27" t="s">
        <v>37</v>
      </c>
      <c r="F27" t="s">
        <v>38</v>
      </c>
    </row>
    <row r="28" spans="1:6" x14ac:dyDescent="0.3">
      <c r="C28" t="s">
        <v>28</v>
      </c>
      <c r="D28" t="s">
        <v>29</v>
      </c>
    </row>
    <row r="29" spans="1:6" x14ac:dyDescent="0.3">
      <c r="C29" t="s">
        <v>30</v>
      </c>
      <c r="D29">
        <v>4</v>
      </c>
      <c r="E29">
        <v>5</v>
      </c>
      <c r="F29">
        <f>D29*E29</f>
        <v>20</v>
      </c>
    </row>
    <row r="30" spans="1:6" x14ac:dyDescent="0.3">
      <c r="C30" t="s">
        <v>31</v>
      </c>
      <c r="D30">
        <v>6</v>
      </c>
      <c r="E30">
        <v>15</v>
      </c>
      <c r="F30">
        <f t="shared" ref="F30:F34" si="0">D30*E30</f>
        <v>90</v>
      </c>
    </row>
    <row r="31" spans="1:6" x14ac:dyDescent="0.3">
      <c r="C31" t="s">
        <v>32</v>
      </c>
      <c r="D31">
        <v>8</v>
      </c>
      <c r="E31">
        <v>25</v>
      </c>
      <c r="F31">
        <f t="shared" si="0"/>
        <v>200</v>
      </c>
    </row>
    <row r="32" spans="1:6" x14ac:dyDescent="0.3">
      <c r="C32" t="s">
        <v>33</v>
      </c>
      <c r="D32">
        <v>10</v>
      </c>
      <c r="E32">
        <v>35</v>
      </c>
      <c r="F32">
        <f t="shared" si="0"/>
        <v>350</v>
      </c>
    </row>
    <row r="33" spans="1:6" x14ac:dyDescent="0.3">
      <c r="C33" t="s">
        <v>34</v>
      </c>
      <c r="D33">
        <v>5</v>
      </c>
      <c r="E33">
        <v>45</v>
      </c>
      <c r="F33">
        <f t="shared" si="0"/>
        <v>225</v>
      </c>
    </row>
    <row r="34" spans="1:6" x14ac:dyDescent="0.3">
      <c r="C34" t="s">
        <v>35</v>
      </c>
      <c r="D34">
        <v>7</v>
      </c>
      <c r="E34">
        <v>55</v>
      </c>
      <c r="F34">
        <f t="shared" si="0"/>
        <v>385</v>
      </c>
    </row>
    <row r="35" spans="1:6" x14ac:dyDescent="0.3">
      <c r="D35">
        <f>SUM(D29:D34)</f>
        <v>40</v>
      </c>
      <c r="F35">
        <f>SUM(F29:F34)</f>
        <v>1270</v>
      </c>
    </row>
    <row r="37" spans="1:6" x14ac:dyDescent="0.3">
      <c r="C37" t="s">
        <v>43</v>
      </c>
      <c r="D37">
        <f>F35/D35</f>
        <v>31.75</v>
      </c>
    </row>
    <row r="39" spans="1:6" x14ac:dyDescent="0.3">
      <c r="A39" s="1" t="s">
        <v>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FF5D-3392-4D21-9C00-F07D3D61E51E}">
  <dimension ref="A1:J33"/>
  <sheetViews>
    <sheetView workbookViewId="0">
      <selection activeCell="I24" sqref="I24"/>
    </sheetView>
  </sheetViews>
  <sheetFormatPr defaultRowHeight="14.4" x14ac:dyDescent="0.3"/>
  <cols>
    <col min="1" max="1" width="8.88671875" customWidth="1"/>
    <col min="2" max="2" width="21.21875" customWidth="1"/>
    <col min="3" max="3" width="8.88671875" customWidth="1"/>
    <col min="5" max="5" width="12.5546875" customWidth="1"/>
    <col min="7" max="7" width="12.88671875" customWidth="1"/>
    <col min="8" max="8" width="13.33203125" customWidth="1"/>
    <col min="10" max="10" width="14.77734375" customWidth="1"/>
    <col min="13" max="13" width="18.33203125" customWidth="1"/>
  </cols>
  <sheetData>
    <row r="1" spans="1:10" x14ac:dyDescent="0.3">
      <c r="A1" s="9" t="s">
        <v>46</v>
      </c>
    </row>
    <row r="3" spans="1:10" x14ac:dyDescent="0.3">
      <c r="B3" s="11" t="s">
        <v>47</v>
      </c>
      <c r="C3" s="11" t="s">
        <v>68</v>
      </c>
      <c r="D3" s="11" t="s">
        <v>69</v>
      </c>
      <c r="E3" s="11" t="s">
        <v>70</v>
      </c>
      <c r="F3" s="11" t="s">
        <v>71</v>
      </c>
      <c r="G3" s="11" t="s">
        <v>72</v>
      </c>
      <c r="H3" s="11" t="s">
        <v>73</v>
      </c>
      <c r="I3" s="11" t="s">
        <v>79</v>
      </c>
      <c r="J3" t="s">
        <v>39</v>
      </c>
    </row>
    <row r="4" spans="1:10" x14ac:dyDescent="0.3">
      <c r="A4" s="10"/>
      <c r="B4" s="11">
        <v>101</v>
      </c>
      <c r="C4" s="11" t="s">
        <v>48</v>
      </c>
      <c r="D4" s="11" t="s">
        <v>49</v>
      </c>
      <c r="E4" s="11" t="s">
        <v>50</v>
      </c>
      <c r="F4" s="11">
        <v>42000</v>
      </c>
      <c r="G4" s="11">
        <v>2</v>
      </c>
      <c r="H4" s="11">
        <v>2022</v>
      </c>
      <c r="I4" s="11" t="str">
        <f>IF(Table5[[#This Row],[Salary]]&gt;50000, "High", "Low")</f>
        <v>Low</v>
      </c>
    </row>
    <row r="5" spans="1:10" x14ac:dyDescent="0.3">
      <c r="B5" s="11">
        <v>102</v>
      </c>
      <c r="C5" s="11" t="s">
        <v>51</v>
      </c>
      <c r="D5" s="11" t="s">
        <v>52</v>
      </c>
      <c r="E5" s="11" t="s">
        <v>53</v>
      </c>
      <c r="F5" s="11">
        <v>55000</v>
      </c>
      <c r="G5" s="11">
        <v>5</v>
      </c>
      <c r="H5" s="11">
        <v>2019</v>
      </c>
      <c r="I5" s="11" t="str">
        <f>IF(Table5[[#This Row],[Salary]]&gt;50000, "High", "Low")</f>
        <v>High</v>
      </c>
    </row>
    <row r="6" spans="1:10" x14ac:dyDescent="0.3">
      <c r="B6" s="11">
        <v>103</v>
      </c>
      <c r="C6" s="11" t="s">
        <v>54</v>
      </c>
      <c r="D6" s="11" t="s">
        <v>55</v>
      </c>
      <c r="E6" s="11" t="s">
        <v>56</v>
      </c>
      <c r="F6" s="11">
        <v>70000</v>
      </c>
      <c r="G6" s="11">
        <v>6</v>
      </c>
      <c r="H6" s="11">
        <v>2018</v>
      </c>
      <c r="I6" s="11" t="str">
        <f>IF(Table5[[#This Row],[Salary]]&gt;50000, "High", "Low")</f>
        <v>High</v>
      </c>
    </row>
    <row r="7" spans="1:10" x14ac:dyDescent="0.3">
      <c r="B7" s="11">
        <v>104</v>
      </c>
      <c r="C7" s="11" t="s">
        <v>57</v>
      </c>
      <c r="D7" s="11" t="s">
        <v>58</v>
      </c>
      <c r="E7" s="11" t="s">
        <v>59</v>
      </c>
      <c r="F7" s="11">
        <v>48000</v>
      </c>
      <c r="G7" s="11">
        <v>3</v>
      </c>
      <c r="H7" s="11">
        <v>2021</v>
      </c>
      <c r="I7" s="11" t="str">
        <f>IF(Table5[[#This Row],[Salary]]&gt;50000, "High", "Low")</f>
        <v>Low</v>
      </c>
    </row>
    <row r="8" spans="1:10" x14ac:dyDescent="0.3">
      <c r="B8" s="11">
        <v>105</v>
      </c>
      <c r="C8" s="11" t="s">
        <v>60</v>
      </c>
      <c r="D8" s="11" t="s">
        <v>49</v>
      </c>
      <c r="E8" s="11" t="s">
        <v>61</v>
      </c>
      <c r="F8" s="11">
        <v>38000</v>
      </c>
      <c r="G8" s="11">
        <v>1</v>
      </c>
      <c r="H8" s="11">
        <v>2024</v>
      </c>
      <c r="I8" s="11" t="str">
        <f>IF(Table5[[#This Row],[Salary]]&gt;50000, "High", "Low")</f>
        <v>Low</v>
      </c>
    </row>
    <row r="9" spans="1:10" x14ac:dyDescent="0.3">
      <c r="B9" s="11">
        <v>106</v>
      </c>
      <c r="C9" s="11" t="s">
        <v>62</v>
      </c>
      <c r="D9" s="11" t="s">
        <v>52</v>
      </c>
      <c r="E9" s="11" t="s">
        <v>50</v>
      </c>
      <c r="F9" s="11">
        <v>62000</v>
      </c>
      <c r="G9" s="11">
        <v>7</v>
      </c>
      <c r="H9" s="11">
        <v>2017</v>
      </c>
      <c r="I9" s="11" t="str">
        <f>IF(Table5[[#This Row],[Salary]]&gt;50000, "High", "Low")</f>
        <v>High</v>
      </c>
    </row>
    <row r="10" spans="1:10" x14ac:dyDescent="0.3">
      <c r="B10" s="11">
        <v>107</v>
      </c>
      <c r="C10" s="11" t="s">
        <v>63</v>
      </c>
      <c r="D10" s="11" t="s">
        <v>55</v>
      </c>
      <c r="E10" s="11" t="s">
        <v>64</v>
      </c>
      <c r="F10" s="11">
        <v>85000</v>
      </c>
      <c r="G10" s="11">
        <v>8</v>
      </c>
      <c r="H10" s="11">
        <v>2016</v>
      </c>
      <c r="I10" s="11" t="str">
        <f>IF(Table5[[#This Row],[Salary]]&gt;50000, "High", "Low")</f>
        <v>High</v>
      </c>
    </row>
    <row r="11" spans="1:10" x14ac:dyDescent="0.3">
      <c r="B11" s="11">
        <v>108</v>
      </c>
      <c r="C11" s="11" t="s">
        <v>65</v>
      </c>
      <c r="D11" s="11" t="s">
        <v>58</v>
      </c>
      <c r="E11" s="11" t="s">
        <v>53</v>
      </c>
      <c r="F11" s="11">
        <v>53000</v>
      </c>
      <c r="G11" s="11">
        <v>4</v>
      </c>
      <c r="H11" s="11">
        <v>2020</v>
      </c>
      <c r="I11" s="11" t="str">
        <f>IF(Table5[[#This Row],[Salary]]&gt;50000, "High", "Low")</f>
        <v>High</v>
      </c>
    </row>
    <row r="12" spans="1:10" x14ac:dyDescent="0.3">
      <c r="B12" s="11">
        <v>109</v>
      </c>
      <c r="C12" s="11" t="s">
        <v>66</v>
      </c>
      <c r="D12" s="11" t="s">
        <v>55</v>
      </c>
      <c r="E12" s="11" t="s">
        <v>59</v>
      </c>
      <c r="F12" s="11">
        <v>76000</v>
      </c>
      <c r="G12" s="11">
        <v>6</v>
      </c>
      <c r="H12" s="11">
        <v>2018</v>
      </c>
      <c r="I12" s="11" t="str">
        <f>IF(Table5[[#This Row],[Salary]]&gt;50000, "High", "Low")</f>
        <v>High</v>
      </c>
    </row>
    <row r="13" spans="1:10" x14ac:dyDescent="0.3">
      <c r="B13" s="11">
        <v>110</v>
      </c>
      <c r="C13" s="11" t="s">
        <v>67</v>
      </c>
      <c r="D13" s="11" t="s">
        <v>49</v>
      </c>
      <c r="E13" s="11" t="s">
        <v>50</v>
      </c>
      <c r="F13" s="11">
        <v>47000</v>
      </c>
      <c r="G13" s="11">
        <v>3</v>
      </c>
      <c r="H13" s="11">
        <v>2021</v>
      </c>
      <c r="I13" s="11" t="str">
        <f>IF(Table5[[#This Row],[Salary]]&gt;50000, "High", "Low")</f>
        <v>Low</v>
      </c>
    </row>
    <row r="15" spans="1:10" x14ac:dyDescent="0.3">
      <c r="B15" t="s">
        <v>77</v>
      </c>
      <c r="C15">
        <f>SUM(F4,F5,F6,F7,F8,F9,F10,F11,F12,F13)</f>
        <v>576000</v>
      </c>
    </row>
    <row r="16" spans="1:10" x14ac:dyDescent="0.3">
      <c r="B16" t="s">
        <v>74</v>
      </c>
      <c r="C16">
        <f>AVERAGE(F4:F13)</f>
        <v>57600</v>
      </c>
    </row>
    <row r="17" spans="2:9" x14ac:dyDescent="0.3">
      <c r="B17" t="s">
        <v>75</v>
      </c>
      <c r="C17">
        <f>+MAX(F4:F13)</f>
        <v>85000</v>
      </c>
    </row>
    <row r="18" spans="2:9" x14ac:dyDescent="0.3">
      <c r="B18" t="s">
        <v>76</v>
      </c>
      <c r="C18">
        <f>MIN(F4:F13)</f>
        <v>38000</v>
      </c>
    </row>
    <row r="19" spans="2:9" x14ac:dyDescent="0.3">
      <c r="B19" t="s">
        <v>78</v>
      </c>
      <c r="C19">
        <f>COUNT(B4:B13)</f>
        <v>10</v>
      </c>
    </row>
    <row r="20" spans="2:9" x14ac:dyDescent="0.3">
      <c r="B20" t="s">
        <v>80</v>
      </c>
      <c r="C20">
        <f>COUNTIF(Table5[Dept], "Sales")</f>
        <v>3</v>
      </c>
    </row>
    <row r="21" spans="2:9" x14ac:dyDescent="0.3">
      <c r="B21" t="s">
        <v>81</v>
      </c>
      <c r="C21">
        <f>SUMIF(Table5[[#All],[Dept]], "IT", Table5[[#All],[Salary]])</f>
        <v>231000</v>
      </c>
    </row>
    <row r="23" spans="2:9" x14ac:dyDescent="0.3">
      <c r="B23" t="s">
        <v>82</v>
      </c>
      <c r="C23" s="3" t="s">
        <v>47</v>
      </c>
      <c r="D23" t="s">
        <v>83</v>
      </c>
      <c r="G23" t="s">
        <v>84</v>
      </c>
      <c r="H23" s="6" t="s">
        <v>68</v>
      </c>
      <c r="I23" t="s">
        <v>84</v>
      </c>
    </row>
    <row r="24" spans="2:9" x14ac:dyDescent="0.3">
      <c r="C24" s="4">
        <v>101</v>
      </c>
      <c r="D24">
        <f>VLOOKUP(C24,Table5[[Emp id]:[Salary]],5,FALSE)</f>
        <v>42000</v>
      </c>
      <c r="H24" s="7" t="s">
        <v>48</v>
      </c>
    </row>
    <row r="25" spans="2:9" x14ac:dyDescent="0.3">
      <c r="C25" s="5">
        <v>102</v>
      </c>
      <c r="D25">
        <f>VLOOKUP(C25,Table5[[Emp id]:[Salary]],5,FALSE)</f>
        <v>55000</v>
      </c>
      <c r="H25" s="8" t="s">
        <v>51</v>
      </c>
    </row>
    <row r="26" spans="2:9" x14ac:dyDescent="0.3">
      <c r="C26" s="4">
        <v>103</v>
      </c>
      <c r="D26">
        <f>VLOOKUP(C26,Table5[[Emp id]:[Salary]],5,FALSE)</f>
        <v>70000</v>
      </c>
      <c r="H26" s="7" t="s">
        <v>54</v>
      </c>
    </row>
    <row r="27" spans="2:9" x14ac:dyDescent="0.3">
      <c r="C27" s="5">
        <v>104</v>
      </c>
      <c r="D27">
        <f>VLOOKUP(C27,Table5[[Emp id]:[Salary]],5,FALSE)</f>
        <v>48000</v>
      </c>
      <c r="H27" s="8" t="s">
        <v>57</v>
      </c>
    </row>
    <row r="28" spans="2:9" x14ac:dyDescent="0.3">
      <c r="C28" s="4">
        <v>105</v>
      </c>
      <c r="D28">
        <f>VLOOKUP(C28,Table5[[Emp id]:[Salary]],5,FALSE)</f>
        <v>38000</v>
      </c>
      <c r="H28" s="7" t="s">
        <v>60</v>
      </c>
    </row>
    <row r="29" spans="2:9" x14ac:dyDescent="0.3">
      <c r="C29" s="5">
        <v>106</v>
      </c>
      <c r="D29">
        <f>VLOOKUP(C29,Table5[[Emp id]:[Salary]],5,FALSE)</f>
        <v>62000</v>
      </c>
      <c r="H29" s="8" t="s">
        <v>62</v>
      </c>
    </row>
    <row r="30" spans="2:9" x14ac:dyDescent="0.3">
      <c r="C30" s="4">
        <v>107</v>
      </c>
      <c r="D30">
        <f>VLOOKUP(C30,Table5[[Emp id]:[Salary]],5,FALSE)</f>
        <v>85000</v>
      </c>
      <c r="H30" s="7" t="s">
        <v>63</v>
      </c>
    </row>
    <row r="31" spans="2:9" x14ac:dyDescent="0.3">
      <c r="C31" s="5">
        <v>108</v>
      </c>
      <c r="D31">
        <f>VLOOKUP(C31,Table5[[Emp id]:[Salary]],5,FALSE)</f>
        <v>53000</v>
      </c>
      <c r="H31" s="8" t="s">
        <v>65</v>
      </c>
    </row>
    <row r="32" spans="2:9" x14ac:dyDescent="0.3">
      <c r="C32" s="4">
        <v>109</v>
      </c>
      <c r="D32">
        <f>VLOOKUP(C32,Table5[[Emp id]:[Salary]],5,FALSE)</f>
        <v>76000</v>
      </c>
      <c r="H32" s="7" t="s">
        <v>66</v>
      </c>
    </row>
    <row r="33" spans="3:8" x14ac:dyDescent="0.3">
      <c r="C33" s="5">
        <v>110</v>
      </c>
      <c r="D33">
        <f>VLOOKUP(C33,Table5[[Emp id]:[Salary]],5,FALSE)</f>
        <v>47000</v>
      </c>
      <c r="H33" s="8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A1A2-769F-4E0B-823B-965796995BB2}">
  <dimension ref="A1:H18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4" max="4" width="14" customWidth="1"/>
    <col min="5" max="5" width="15.5546875" customWidth="1"/>
    <col min="7" max="7" width="14.109375" customWidth="1"/>
    <col min="8" max="8" width="15.6640625" customWidth="1"/>
  </cols>
  <sheetData>
    <row r="1" spans="1:8" x14ac:dyDescent="0.3">
      <c r="A1" t="s">
        <v>85</v>
      </c>
    </row>
    <row r="2" spans="1:8" x14ac:dyDescent="0.3">
      <c r="B2" s="13" t="s">
        <v>86</v>
      </c>
      <c r="C2" s="14" t="s">
        <v>68</v>
      </c>
      <c r="D2" s="14" t="s">
        <v>87</v>
      </c>
      <c r="E2" s="14" t="s">
        <v>88</v>
      </c>
      <c r="F2" s="14" t="s">
        <v>71</v>
      </c>
      <c r="G2" s="14" t="s">
        <v>72</v>
      </c>
      <c r="H2" s="15" t="s">
        <v>89</v>
      </c>
    </row>
    <row r="3" spans="1:8" x14ac:dyDescent="0.3">
      <c r="B3" s="16">
        <v>107</v>
      </c>
      <c r="C3" s="12" t="s">
        <v>63</v>
      </c>
      <c r="D3" s="12" t="s">
        <v>55</v>
      </c>
      <c r="E3" s="12" t="s">
        <v>64</v>
      </c>
      <c r="F3" s="12">
        <v>85000</v>
      </c>
      <c r="G3" s="12">
        <v>8</v>
      </c>
      <c r="H3" s="17">
        <v>2016</v>
      </c>
    </row>
    <row r="4" spans="1:8" x14ac:dyDescent="0.3">
      <c r="B4" s="16">
        <v>109</v>
      </c>
      <c r="C4" s="12" t="s">
        <v>66</v>
      </c>
      <c r="D4" s="12" t="s">
        <v>55</v>
      </c>
      <c r="E4" s="12" t="s">
        <v>59</v>
      </c>
      <c r="F4" s="12">
        <v>76000</v>
      </c>
      <c r="G4" s="12">
        <v>6</v>
      </c>
      <c r="H4" s="17">
        <v>2018</v>
      </c>
    </row>
    <row r="5" spans="1:8" x14ac:dyDescent="0.3">
      <c r="B5" s="16">
        <v>103</v>
      </c>
      <c r="C5" s="12" t="s">
        <v>54</v>
      </c>
      <c r="D5" s="12" t="s">
        <v>55</v>
      </c>
      <c r="E5" s="12" t="s">
        <v>56</v>
      </c>
      <c r="F5" s="12">
        <v>70000</v>
      </c>
      <c r="G5" s="12">
        <v>6</v>
      </c>
      <c r="H5" s="17">
        <v>2018</v>
      </c>
    </row>
    <row r="6" spans="1:8" x14ac:dyDescent="0.3">
      <c r="B6" s="16">
        <v>106</v>
      </c>
      <c r="C6" s="12" t="s">
        <v>62</v>
      </c>
      <c r="D6" s="12" t="s">
        <v>52</v>
      </c>
      <c r="E6" s="12" t="s">
        <v>50</v>
      </c>
      <c r="F6" s="12">
        <v>62000</v>
      </c>
      <c r="G6" s="12">
        <v>7</v>
      </c>
      <c r="H6" s="17">
        <v>2017</v>
      </c>
    </row>
    <row r="7" spans="1:8" x14ac:dyDescent="0.3">
      <c r="B7" s="16">
        <v>102</v>
      </c>
      <c r="C7" s="12" t="s">
        <v>51</v>
      </c>
      <c r="D7" s="12" t="s">
        <v>52</v>
      </c>
      <c r="E7" s="12" t="s">
        <v>53</v>
      </c>
      <c r="F7" s="12">
        <v>55000</v>
      </c>
      <c r="G7" s="12">
        <v>5</v>
      </c>
      <c r="H7" s="17">
        <v>2019</v>
      </c>
    </row>
    <row r="8" spans="1:8" x14ac:dyDescent="0.3">
      <c r="B8" s="16">
        <v>108</v>
      </c>
      <c r="C8" s="12" t="s">
        <v>65</v>
      </c>
      <c r="D8" s="12" t="s">
        <v>58</v>
      </c>
      <c r="E8" s="12" t="s">
        <v>53</v>
      </c>
      <c r="F8" s="12">
        <v>53000</v>
      </c>
      <c r="G8" s="12">
        <v>4</v>
      </c>
      <c r="H8" s="17">
        <v>2020</v>
      </c>
    </row>
    <row r="9" spans="1:8" x14ac:dyDescent="0.3">
      <c r="B9" s="16">
        <v>104</v>
      </c>
      <c r="C9" s="12" t="s">
        <v>57</v>
      </c>
      <c r="D9" s="12" t="s">
        <v>58</v>
      </c>
      <c r="E9" s="12" t="s">
        <v>59</v>
      </c>
      <c r="F9" s="12">
        <v>48000</v>
      </c>
      <c r="G9" s="12">
        <v>3</v>
      </c>
      <c r="H9" s="17">
        <v>2021</v>
      </c>
    </row>
    <row r="10" spans="1:8" x14ac:dyDescent="0.3">
      <c r="B10" s="16">
        <v>110</v>
      </c>
      <c r="C10" s="12" t="s">
        <v>67</v>
      </c>
      <c r="D10" s="12" t="s">
        <v>49</v>
      </c>
      <c r="E10" s="12" t="s">
        <v>50</v>
      </c>
      <c r="F10" s="12">
        <v>47000</v>
      </c>
      <c r="G10" s="12">
        <v>3</v>
      </c>
      <c r="H10" s="17">
        <v>2021</v>
      </c>
    </row>
    <row r="11" spans="1:8" x14ac:dyDescent="0.3">
      <c r="B11" s="16">
        <v>101</v>
      </c>
      <c r="C11" s="12" t="s">
        <v>48</v>
      </c>
      <c r="D11" s="12" t="s">
        <v>49</v>
      </c>
      <c r="E11" s="12" t="s">
        <v>50</v>
      </c>
      <c r="F11" s="12">
        <v>42000</v>
      </c>
      <c r="G11" s="12">
        <v>2</v>
      </c>
      <c r="H11" s="17">
        <v>2022</v>
      </c>
    </row>
    <row r="12" spans="1:8" x14ac:dyDescent="0.3">
      <c r="B12" s="18">
        <v>105</v>
      </c>
      <c r="C12" s="19" t="s">
        <v>60</v>
      </c>
      <c r="D12" s="19" t="s">
        <v>49</v>
      </c>
      <c r="E12" s="19" t="s">
        <v>61</v>
      </c>
      <c r="F12" s="19">
        <v>38000</v>
      </c>
      <c r="G12" s="19">
        <v>1</v>
      </c>
      <c r="H12" s="20">
        <v>2024</v>
      </c>
    </row>
    <row r="18" spans="2:2" x14ac:dyDescent="0.3">
      <c r="B18" t="s">
        <v>45</v>
      </c>
    </row>
  </sheetData>
  <conditionalFormatting sqref="F2:F12">
    <cfRule type="cellIs" dxfId="0" priority="1" operator="greaterThan">
      <formula>60000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2E2A-1FFC-4255-B10C-9170A4B2CCEF}">
  <dimension ref="A3:B8"/>
  <sheetViews>
    <sheetView workbookViewId="0">
      <selection activeCell="A4" sqref="A3:B8"/>
    </sheetView>
  </sheetViews>
  <sheetFormatPr defaultRowHeight="14.4" x14ac:dyDescent="0.3"/>
  <cols>
    <col min="1" max="2" width="12.5546875" bestFit="1" customWidth="1"/>
  </cols>
  <sheetData>
    <row r="3" spans="1:2" x14ac:dyDescent="0.3">
      <c r="A3" s="21" t="s">
        <v>90</v>
      </c>
      <c r="B3" t="s">
        <v>92</v>
      </c>
    </row>
    <row r="4" spans="1:2" x14ac:dyDescent="0.3">
      <c r="A4" s="22" t="s">
        <v>58</v>
      </c>
      <c r="B4" s="23">
        <v>101000</v>
      </c>
    </row>
    <row r="5" spans="1:2" x14ac:dyDescent="0.3">
      <c r="A5" s="22" t="s">
        <v>52</v>
      </c>
      <c r="B5" s="23">
        <v>117000</v>
      </c>
    </row>
    <row r="6" spans="1:2" x14ac:dyDescent="0.3">
      <c r="A6" s="22" t="s">
        <v>55</v>
      </c>
      <c r="B6" s="23">
        <v>231000</v>
      </c>
    </row>
    <row r="7" spans="1:2" x14ac:dyDescent="0.3">
      <c r="A7" s="22" t="s">
        <v>49</v>
      </c>
      <c r="B7" s="23">
        <v>127000</v>
      </c>
    </row>
    <row r="8" spans="1:2" x14ac:dyDescent="0.3">
      <c r="A8" s="22" t="s">
        <v>91</v>
      </c>
      <c r="B8" s="23">
        <v>576000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Section - B</vt:lpstr>
      <vt:lpstr>Section - C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Barot</dc:creator>
  <cp:lastModifiedBy>Deep Barot</cp:lastModifiedBy>
  <dcterms:created xsi:type="dcterms:W3CDTF">2026-09-21T08:57:20Z</dcterms:created>
  <dcterms:modified xsi:type="dcterms:W3CDTF">2026-09-21T10:31:58Z</dcterms:modified>
</cp:coreProperties>
</file>