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1AA9CEC0-3511-47C9-8908-4A5FC01D47DF}" xr6:coauthVersionLast="47" xr6:coauthVersionMax="47" xr10:uidLastSave="{00000000-0000-0000-0000-000000000000}"/>
  <bookViews>
    <workbookView xWindow="-120" yWindow="-120" windowWidth="20730" windowHeight="11040" xr2:uid="{D89F87CB-F4D4-4D3A-B1B2-CF5A03571BEF}"/>
  </bookViews>
  <sheets>
    <sheet name="Sheet1" sheetId="3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2" l="1"/>
  <c r="D5" i="12"/>
  <c r="D6" i="12"/>
  <c r="D3" i="12"/>
  <c r="C4" i="11"/>
  <c r="C5" i="11"/>
  <c r="C6" i="11"/>
  <c r="C3" i="11"/>
  <c r="C4" i="10"/>
  <c r="C5" i="10"/>
  <c r="C6" i="10"/>
  <c r="C3" i="10"/>
  <c r="D4" i="9"/>
  <c r="D5" i="9"/>
  <c r="D6" i="9"/>
  <c r="D3" i="9"/>
  <c r="D3" i="8"/>
  <c r="D4" i="8"/>
  <c r="D5" i="8"/>
  <c r="D2" i="8"/>
  <c r="D3" i="7"/>
  <c r="D4" i="7"/>
  <c r="D5" i="7"/>
  <c r="D2" i="7"/>
  <c r="D3" i="6"/>
  <c r="D4" i="6"/>
  <c r="D5" i="6"/>
  <c r="D2" i="6"/>
  <c r="C3" i="5"/>
  <c r="C4" i="5"/>
  <c r="C5" i="5"/>
  <c r="C6" i="5"/>
  <c r="C2" i="5"/>
  <c r="C3" i="4"/>
  <c r="C4" i="4"/>
  <c r="C5" i="4"/>
  <c r="C2" i="4"/>
  <c r="D3" i="3"/>
  <c r="D4" i="3"/>
  <c r="D5" i="3"/>
  <c r="D6" i="3"/>
  <c r="D2" i="3"/>
</calcChain>
</file>

<file path=xl/sharedStrings.xml><?xml version="1.0" encoding="utf-8"?>
<sst xmlns="http://schemas.openxmlformats.org/spreadsheetml/2006/main" count="86" uniqueCount="50">
  <si>
    <t>Performance</t>
  </si>
  <si>
    <t>Sunita</t>
  </si>
  <si>
    <t>Manoj</t>
  </si>
  <si>
    <t>Kavita</t>
  </si>
  <si>
    <t>Attendance %</t>
  </si>
  <si>
    <t>Roll No.</t>
  </si>
  <si>
    <t>Student Name</t>
  </si>
  <si>
    <t>Aman</t>
  </si>
  <si>
    <t>Bharti</t>
  </si>
  <si>
    <t>Rohan</t>
  </si>
  <si>
    <t>Deepa</t>
  </si>
  <si>
    <t>Farhan</t>
  </si>
  <si>
    <t>Marks</t>
  </si>
  <si>
    <t>Result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</si>
  <si>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</si>
  <si>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</si>
  <si>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</si>
  <si>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</si>
  <si>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</si>
  <si>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</si>
  <si>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</si>
  <si>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</si>
  <si>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Name</t>
  </si>
  <si>
    <t>Age</t>
  </si>
  <si>
    <t>Experience (Years)</t>
  </si>
  <si>
    <t>Eligible</t>
  </si>
  <si>
    <t>tudent Name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</si>
  <si>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</si>
  <si>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</si>
  <si>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</si>
  <si>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</si>
  <si>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</si>
  <si>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</si>
  <si>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</si>
  <si>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</si>
  <si>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</si>
  <si>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</si>
  <si>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</si>
  <si>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</si>
  <si>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</si>
  <si>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LOAN APPROVAL (OR)</t>
  </si>
  <si>
    <t>ATTENDANCE STATUS (NOT)</t>
  </si>
  <si>
    <t>Present</t>
  </si>
  <si>
    <t>Status</t>
  </si>
  <si>
    <t>SAFE DIVISION IF ERROR</t>
  </si>
  <si>
    <t>Number 1</t>
  </si>
  <si>
    <t>Number 2</t>
  </si>
  <si>
    <t>Performance Evaluation (Combined Logic)</t>
  </si>
  <si>
    <t>Targets Achieved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</si>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</sst>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2DC3-9A87-4EA7-868E-021F11AC1DED}">
  <dimension ref="A1:D6"/>
  <sheetViews>
    <sheetView tabSelected="1" workbookViewId="0">
      <selection activeCell="E2" sqref="E2"/>
    </sheetView>
  </sheetViews>
  <sheetFormatPr defaultRowHeight="15" x14ac:dyDescent="0.25"/>
  <cols>
    <col min="2" max="2" width="13.85546875" customWidth="1"/>
  </cols>
  <sheetData>
    <row r="1" spans="1:4" x14ac:dyDescent="0.25">
      <c r="A1" t="s">
        <v>5</v>
      </c>
      <c r="B1" t="s">
        <v>6</v>
      </c>
      <c r="C1" t="s">
        <v>12</v>
      </c>
      <c r="D1" t="s">
        <v>13</v>
      </c>
    </row>
    <row r="2" spans="1:4" x14ac:dyDescent="0.25">
      <c r="A2">
        <v>1</v>
      </c>
      <c r="B2" t="s">
        <v>7</v>
      </c>
      <c r="C2">
        <v>78</v>
      </c>
      <c r="D2" t="str">
        <f>IF(C2&gt;=40,"Pass","Fail")</f>
        <v>Pass</v>
      </c>
    </row>
    <row r="3" spans="1:4" x14ac:dyDescent="0.25">
      <c r="A3">
        <v>2</v>
      </c>
      <c r="B3" t="s">
        <v>8</v>
      </c>
      <c r="C3">
        <v>35</v>
      </c>
      <c r="D3" t="str">
        <f t="shared" ref="D3:D6" si="0">IF(C3&gt;=40,"Pass","Fail")</f>
        <v>Fail</v>
      </c>
    </row>
    <row r="4" spans="1:4" x14ac:dyDescent="0.25">
      <c r="A4">
        <v>3</v>
      </c>
      <c r="B4" t="s">
        <v>9</v>
      </c>
      <c r="C4">
        <v>63</v>
      </c>
      <c r="D4" t="str">
        <f t="shared" si="0"/>
        <v>Pass</v>
      </c>
    </row>
    <row r="5" spans="1:4" x14ac:dyDescent="0.25">
      <c r="A5">
        <v>4</v>
      </c>
      <c r="B5" t="s">
        <v>10</v>
      </c>
      <c r="C5">
        <v>40</v>
      </c>
      <c r="D5" t="str">
        <f t="shared" si="0"/>
        <v>Pass</v>
      </c>
    </row>
    <row r="6" spans="1:4" x14ac:dyDescent="0.25">
      <c r="A6">
        <v>5</v>
      </c>
      <c r="B6" t="s">
        <v>11</v>
      </c>
      <c r="C6">
        <v>28</v>
      </c>
      <c r="D6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EF65-DE2E-4E7E-8151-FC54B8903ED8}">
  <dimension ref="A1:C5"/>
  <sheetViews>
    <sheetView workbookViewId="0">
      <selection activeCell="D1" sqref="D1"/>
    </sheetView>
  </sheetViews>
  <sheetFormatPr defaultRowHeight="15" x14ac:dyDescent="0.25"/>
  <sheetData>
    <row r="1" spans="1:3" ht="52.5" thickBot="1" x14ac:dyDescent="0.3">
      <c r="A1" s="1" t="s">
        <v>14</v>
      </c>
      <c r="B1" s="1" t="s">
        <v>15</v>
      </c>
      <c r="C1" s="1" t="s">
        <v>16</v>
      </c>
    </row>
    <row r="2" spans="1:3" ht="35.25" thickBot="1" x14ac:dyDescent="0.3">
      <c r="A2" s="2" t="s">
        <v>17</v>
      </c>
      <c r="B2" s="2">
        <v>28000</v>
      </c>
      <c r="C2" s="2" t="str">
        <f>IF(B2&gt;=40000,"Bonus","No Bonus")</f>
        <v>No Bonus</v>
      </c>
    </row>
    <row r="3" spans="1:3" ht="35.25" thickBot="1" x14ac:dyDescent="0.3">
      <c r="A3" s="3" t="s">
        <v>18</v>
      </c>
      <c r="B3" s="3">
        <v>45000</v>
      </c>
      <c r="C3" s="2" t="str">
        <f t="shared" ref="C3:C5" si="0">IF(B3&gt;=40000,"Bonus","No Bonus")</f>
        <v>Bonus</v>
      </c>
    </row>
    <row r="4" spans="1:3" ht="35.25" thickBot="1" x14ac:dyDescent="0.3">
      <c r="A4" s="2" t="s">
        <v>19</v>
      </c>
      <c r="B4" s="2">
        <v>52000</v>
      </c>
      <c r="C4" s="2" t="str">
        <f t="shared" si="0"/>
        <v>Bonus</v>
      </c>
    </row>
    <row r="5" spans="1:3" ht="35.25" thickBot="1" x14ac:dyDescent="0.3">
      <c r="A5" s="3" t="s">
        <v>20</v>
      </c>
      <c r="B5" s="3">
        <v>30000</v>
      </c>
      <c r="C5" s="2" t="str">
        <f t="shared" si="0"/>
        <v>No Bonus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38A93-13BC-469E-8E7F-442D5DB4500D}">
  <dimension ref="A1:C6"/>
  <sheetViews>
    <sheetView workbookViewId="0">
      <selection activeCell="C2" sqref="C2"/>
    </sheetView>
  </sheetViews>
  <sheetFormatPr defaultRowHeight="15" x14ac:dyDescent="0.25"/>
  <sheetData>
    <row r="1" spans="1:3" ht="52.5" thickBot="1" x14ac:dyDescent="0.3">
      <c r="A1" s="1" t="s">
        <v>6</v>
      </c>
      <c r="B1" s="1" t="s">
        <v>12</v>
      </c>
      <c r="C1" s="1" t="s">
        <v>21</v>
      </c>
    </row>
    <row r="2" spans="1:3" ht="18" thickBot="1" x14ac:dyDescent="0.3">
      <c r="A2" s="2" t="s">
        <v>7</v>
      </c>
      <c r="B2" s="2">
        <v>82</v>
      </c>
      <c r="C2" s="2" t="str">
        <f>IF(B2&gt;=75,"A",IF(B2&gt;=60,"B",IF(B2&gt;=40,"C",IF(B2&lt;40,"FAIL"))))</f>
        <v>A</v>
      </c>
    </row>
    <row r="3" spans="1:3" ht="18" thickBot="1" x14ac:dyDescent="0.3">
      <c r="A3" s="3" t="s">
        <v>8</v>
      </c>
      <c r="B3" s="3">
        <v>67</v>
      </c>
      <c r="C3" s="2" t="str">
        <f t="shared" ref="C3:C6" si="0">IF(B3&gt;=75,"A",IF(B3&gt;=60,"B",IF(B3&gt;=40,"C",IF(B3&lt;40,"FAIL"))))</f>
        <v>B</v>
      </c>
    </row>
    <row r="4" spans="1:3" ht="18" thickBot="1" x14ac:dyDescent="0.3">
      <c r="A4" s="2" t="s">
        <v>9</v>
      </c>
      <c r="B4" s="2">
        <v>45</v>
      </c>
      <c r="C4" s="2" t="str">
        <f t="shared" si="0"/>
        <v>C</v>
      </c>
    </row>
    <row r="5" spans="1:3" ht="18" thickBot="1" x14ac:dyDescent="0.3">
      <c r="A5" s="3" t="s">
        <v>10</v>
      </c>
      <c r="B5" s="3">
        <v>33</v>
      </c>
      <c r="C5" s="2" t="str">
        <f t="shared" si="0"/>
        <v>FAIL</v>
      </c>
    </row>
    <row r="6" spans="1:3" ht="35.25" thickBot="1" x14ac:dyDescent="0.3">
      <c r="A6" s="2" t="s">
        <v>11</v>
      </c>
      <c r="B6" s="2">
        <v>90</v>
      </c>
      <c r="C6" s="2" t="str">
        <f t="shared" si="0"/>
        <v>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38D2-3CD5-4687-BE2B-E95A7BB47F0F}">
  <dimension ref="A1:D5"/>
  <sheetViews>
    <sheetView workbookViewId="0">
      <selection activeCell="D2" sqref="D2:D5"/>
    </sheetView>
  </sheetViews>
  <sheetFormatPr defaultRowHeight="15" x14ac:dyDescent="0.25"/>
  <cols>
    <col min="4" max="4" width="20.42578125" customWidth="1"/>
  </cols>
  <sheetData>
    <row r="1" spans="1:4" ht="52.5" thickBot="1" x14ac:dyDescent="0.3">
      <c r="A1" s="1" t="s">
        <v>22</v>
      </c>
      <c r="B1" s="1" t="s">
        <v>23</v>
      </c>
      <c r="C1" s="1" t="s">
        <v>24</v>
      </c>
      <c r="D1" s="1" t="s">
        <v>25</v>
      </c>
    </row>
    <row r="2" spans="1:4" ht="18" thickBot="1" x14ac:dyDescent="0.3">
      <c r="A2" s="2" t="s">
        <v>17</v>
      </c>
      <c r="B2" s="2">
        <v>25</v>
      </c>
      <c r="C2" s="2">
        <v>2</v>
      </c>
      <c r="D2" s="2" t="str">
        <f>IF(AND(B2&gt;=21,C2&gt;=1),"eligible","not")</f>
        <v>eligible</v>
      </c>
    </row>
    <row r="3" spans="1:4" ht="35.25" thickBot="1" x14ac:dyDescent="0.3">
      <c r="A3" s="3" t="s">
        <v>18</v>
      </c>
      <c r="B3" s="3">
        <v>20</v>
      </c>
      <c r="C3" s="3">
        <v>1</v>
      </c>
      <c r="D3" s="2" t="str">
        <f t="shared" ref="D3:D5" si="0">IF(AND(B3&gt;=21,C3&gt;=1),"eligible","not")</f>
        <v>not</v>
      </c>
    </row>
    <row r="4" spans="1:4" ht="18" thickBot="1" x14ac:dyDescent="0.3">
      <c r="A4" s="2" t="s">
        <v>19</v>
      </c>
      <c r="B4" s="2">
        <v>30</v>
      </c>
      <c r="C4" s="2">
        <v>5</v>
      </c>
      <c r="D4" s="2" t="str">
        <f t="shared" si="0"/>
        <v>eligible</v>
      </c>
    </row>
    <row r="5" spans="1:4" ht="18" thickBot="1" x14ac:dyDescent="0.3">
      <c r="A5" s="3" t="s">
        <v>20</v>
      </c>
      <c r="B5" s="3">
        <v>22</v>
      </c>
      <c r="C5" s="3">
        <v>0</v>
      </c>
      <c r="D5" s="2" t="str">
        <f t="shared" si="0"/>
        <v>not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0902-7504-4A21-B74A-779AE39CF330}">
  <dimension ref="A1:D5"/>
  <sheetViews>
    <sheetView workbookViewId="0">
      <selection activeCell="E1" sqref="E1"/>
    </sheetView>
  </sheetViews>
  <sheetFormatPr defaultRowHeight="15" x14ac:dyDescent="0.25"/>
  <cols>
    <col min="4" max="4" width="14" customWidth="1"/>
  </cols>
  <sheetData>
    <row r="1" spans="1:4" ht="69.75" thickBot="1" x14ac:dyDescent="0.3">
      <c r="A1" s="1" t="s">
        <v>26</v>
      </c>
      <c r="B1" s="1" t="s">
        <v>4</v>
      </c>
      <c r="C1" s="1" t="s">
        <v>27</v>
      </c>
      <c r="D1" s="1" t="s">
        <v>25</v>
      </c>
    </row>
    <row r="2" spans="1:4" ht="18" thickBot="1" x14ac:dyDescent="0.3">
      <c r="A2" s="2" t="s">
        <v>7</v>
      </c>
      <c r="B2" s="2">
        <v>85</v>
      </c>
      <c r="C2" s="2" t="s">
        <v>28</v>
      </c>
      <c r="D2" s="2" t="str">
        <f>IF(AND(B2&gt;=75, C2="Yes"), "Eligible", "Not")</f>
        <v>Eligible</v>
      </c>
    </row>
    <row r="3" spans="1:4" ht="18" thickBot="1" x14ac:dyDescent="0.3">
      <c r="A3" s="3" t="s">
        <v>8</v>
      </c>
      <c r="B3" s="3">
        <v>72</v>
      </c>
      <c r="C3" s="3" t="s">
        <v>28</v>
      </c>
      <c r="D3" s="2" t="str">
        <f t="shared" ref="D3:D5" si="0">IF(AND(B3&gt;=75, C3="Yes"), "Eligible", "Not")</f>
        <v>Not</v>
      </c>
    </row>
    <row r="4" spans="1:4" ht="18" thickBot="1" x14ac:dyDescent="0.3">
      <c r="A4" s="2" t="s">
        <v>9</v>
      </c>
      <c r="B4" s="2">
        <v>90</v>
      </c>
      <c r="C4" s="2" t="s">
        <v>29</v>
      </c>
      <c r="D4" s="2" t="str">
        <f t="shared" si="0"/>
        <v>Not</v>
      </c>
    </row>
    <row r="5" spans="1:4" ht="18" thickBot="1" x14ac:dyDescent="0.3">
      <c r="A5" s="3" t="s">
        <v>10</v>
      </c>
      <c r="B5" s="3">
        <v>80</v>
      </c>
      <c r="C5" s="3" t="s">
        <v>28</v>
      </c>
      <c r="D5" s="2" t="str">
        <f t="shared" si="0"/>
        <v>Eligible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D440-8BAE-4C42-B898-C2E3FB5C1DD5}">
  <dimension ref="A1:D5"/>
  <sheetViews>
    <sheetView workbookViewId="0">
      <selection activeCell="E1" sqref="E1"/>
    </sheetView>
  </sheetViews>
  <sheetFormatPr defaultRowHeight="15" x14ac:dyDescent="0.25"/>
  <cols>
    <col min="1" max="1" width="13.140625" customWidth="1"/>
    <col min="2" max="2" width="12.7109375" customWidth="1"/>
    <col min="3" max="3" width="10.85546875" customWidth="1"/>
    <col min="4" max="4" width="14.7109375" customWidth="1"/>
  </cols>
  <sheetData>
    <row r="1" spans="1:4" ht="69.75" thickBot="1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4" ht="35.25" thickBot="1" x14ac:dyDescent="0.3">
      <c r="A2" s="2" t="s">
        <v>34</v>
      </c>
      <c r="B2" s="2">
        <v>9000</v>
      </c>
      <c r="C2" s="2" t="s">
        <v>29</v>
      </c>
      <c r="D2" s="2" t="str">
        <f>IF(OR(B2&gt;=10000,C2="Yes"),"Available","Not Available")</f>
        <v>Not Available</v>
      </c>
    </row>
    <row r="3" spans="1:4" ht="35.25" thickBot="1" x14ac:dyDescent="0.3">
      <c r="A3" s="3" t="s">
        <v>35</v>
      </c>
      <c r="B3" s="3">
        <v>12000</v>
      </c>
      <c r="C3" s="3" t="s">
        <v>29</v>
      </c>
      <c r="D3" s="2" t="str">
        <f t="shared" ref="D3:D5" si="0">IF(OR(B3&gt;=10000,C3="Yes"),"Available","Not Available")</f>
        <v>Available</v>
      </c>
    </row>
    <row r="4" spans="1:4" ht="35.25" thickBot="1" x14ac:dyDescent="0.3">
      <c r="A4" s="2" t="s">
        <v>9</v>
      </c>
      <c r="B4" s="2">
        <v>4000</v>
      </c>
      <c r="C4" s="2" t="s">
        <v>28</v>
      </c>
      <c r="D4" s="2" t="str">
        <f t="shared" si="0"/>
        <v>Available</v>
      </c>
    </row>
    <row r="5" spans="1:4" ht="35.25" thickBot="1" x14ac:dyDescent="0.3">
      <c r="A5" s="3" t="s">
        <v>36</v>
      </c>
      <c r="B5" s="3">
        <v>3000</v>
      </c>
      <c r="C5" s="3" t="s">
        <v>29</v>
      </c>
      <c r="D5" s="2" t="str">
        <f t="shared" si="0"/>
        <v>Not Available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7386-8581-46BD-8B56-E7E4602D271B}">
  <dimension ref="A1:D6"/>
  <sheetViews>
    <sheetView workbookViewId="0">
      <selection activeCell="E3" sqref="E3"/>
    </sheetView>
  </sheetViews>
  <sheetFormatPr defaultRowHeight="15" x14ac:dyDescent="0.25"/>
  <cols>
    <col min="4" max="4" width="12.42578125" customWidth="1"/>
  </cols>
  <sheetData>
    <row r="1" spans="1:4" ht="16.5" thickBot="1" x14ac:dyDescent="0.3">
      <c r="A1" s="5" t="s">
        <v>40</v>
      </c>
      <c r="B1" s="5"/>
      <c r="C1" s="5"/>
      <c r="D1" s="5"/>
    </row>
    <row r="2" spans="1:4" ht="35.25" thickBot="1" x14ac:dyDescent="0.3">
      <c r="A2" s="1" t="s">
        <v>37</v>
      </c>
      <c r="B2" s="1" t="s">
        <v>15</v>
      </c>
      <c r="C2" s="1" t="s">
        <v>38</v>
      </c>
      <c r="D2" s="1" t="s">
        <v>39</v>
      </c>
    </row>
    <row r="3" spans="1:4" ht="35.25" thickBot="1" x14ac:dyDescent="0.3">
      <c r="A3" s="2" t="s">
        <v>17</v>
      </c>
      <c r="B3" s="2">
        <v>35000</v>
      </c>
      <c r="C3" s="2">
        <v>720</v>
      </c>
      <c r="D3" s="2" t="str">
        <f>IF(OR(B3&gt;=40000,C3&gt;=700),"APPROVE","REJECTED")</f>
        <v>APPROVE</v>
      </c>
    </row>
    <row r="4" spans="1:4" ht="35.25" thickBot="1" x14ac:dyDescent="0.3">
      <c r="A4" s="3" t="s">
        <v>18</v>
      </c>
      <c r="B4" s="3">
        <v>25000</v>
      </c>
      <c r="C4" s="3">
        <v>680</v>
      </c>
      <c r="D4" s="2" t="str">
        <f t="shared" ref="D4:D6" si="0">IF(OR(B4&gt;=40000,C4&gt;=700),"APPROVE","REJECTED")</f>
        <v>REJECTED</v>
      </c>
    </row>
    <row r="5" spans="1:4" ht="35.25" thickBot="1" x14ac:dyDescent="0.3">
      <c r="A5" s="2" t="s">
        <v>19</v>
      </c>
      <c r="B5" s="2">
        <v>50000</v>
      </c>
      <c r="C5" s="2">
        <v>650</v>
      </c>
      <c r="D5" s="2" t="str">
        <f t="shared" si="0"/>
        <v>APPROVE</v>
      </c>
    </row>
    <row r="6" spans="1:4" ht="35.25" thickBot="1" x14ac:dyDescent="0.3">
      <c r="A6" s="3" t="s">
        <v>20</v>
      </c>
      <c r="B6" s="3">
        <v>20000</v>
      </c>
      <c r="C6" s="3">
        <v>600</v>
      </c>
      <c r="D6" s="2" t="str">
        <f t="shared" si="0"/>
        <v>REJECTED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5CC4-77CA-4090-9F5A-5FB427AF5522}">
  <dimension ref="A1:D6"/>
  <sheetViews>
    <sheetView workbookViewId="0">
      <selection activeCell="E4" sqref="E4"/>
    </sheetView>
  </sheetViews>
  <sheetFormatPr defaultRowHeight="15" x14ac:dyDescent="0.25"/>
  <cols>
    <col min="3" max="3" width="17" customWidth="1"/>
  </cols>
  <sheetData>
    <row r="1" spans="1:4" ht="16.5" thickBot="1" x14ac:dyDescent="0.3">
      <c r="A1" s="6" t="s">
        <v>41</v>
      </c>
      <c r="B1" s="6"/>
      <c r="C1" s="6"/>
      <c r="D1" s="6"/>
    </row>
    <row r="2" spans="1:4" ht="35.25" thickBot="1" x14ac:dyDescent="0.3">
      <c r="A2" s="1" t="s">
        <v>22</v>
      </c>
      <c r="B2" s="1" t="s">
        <v>42</v>
      </c>
      <c r="C2" s="1" t="s">
        <v>43</v>
      </c>
    </row>
    <row r="3" spans="1:4" ht="18" thickBot="1" x14ac:dyDescent="0.3">
      <c r="A3" s="2" t="s">
        <v>7</v>
      </c>
      <c r="B3" s="2" t="b">
        <v>1</v>
      </c>
      <c r="C3" s="2" t="str">
        <f>IF(NOT(B3),"ABSENT","PRESENT")</f>
        <v>PRESENT</v>
      </c>
    </row>
    <row r="4" spans="1:4" ht="18" thickBot="1" x14ac:dyDescent="0.3">
      <c r="A4" s="3" t="s">
        <v>8</v>
      </c>
      <c r="B4" s="3" t="b">
        <v>0</v>
      </c>
      <c r="C4" s="2" t="str">
        <f t="shared" ref="C4:C6" si="0">IF(NOT(B4),"ABSENT","PRESENT")</f>
        <v>ABSENT</v>
      </c>
    </row>
    <row r="5" spans="1:4" ht="18" thickBot="1" x14ac:dyDescent="0.3">
      <c r="A5" s="2" t="s">
        <v>9</v>
      </c>
      <c r="B5" s="2" t="b">
        <v>1</v>
      </c>
      <c r="C5" s="2" t="str">
        <f t="shared" si="0"/>
        <v>PRESENT</v>
      </c>
    </row>
    <row r="6" spans="1:4" ht="18" thickBot="1" x14ac:dyDescent="0.3">
      <c r="A6" s="3" t="s">
        <v>10</v>
      </c>
      <c r="B6" s="3" t="b">
        <v>0</v>
      </c>
      <c r="C6" s="2" t="str">
        <f t="shared" si="0"/>
        <v>ABSENT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8294-91D2-4C24-8811-6CC8FC9985CC}">
  <dimension ref="A1:C6"/>
  <sheetViews>
    <sheetView workbookViewId="0">
      <selection activeCell="D4" sqref="D4"/>
    </sheetView>
  </sheetViews>
  <sheetFormatPr defaultRowHeight="15" x14ac:dyDescent="0.25"/>
  <cols>
    <col min="1" max="1" width="11.140625" customWidth="1"/>
    <col min="2" max="2" width="11.28515625" customWidth="1"/>
    <col min="3" max="3" width="14.7109375" customWidth="1"/>
  </cols>
  <sheetData>
    <row r="1" spans="1:3" ht="15.75" thickBot="1" x14ac:dyDescent="0.3">
      <c r="A1" s="4" t="s">
        <v>44</v>
      </c>
      <c r="B1" s="4"/>
      <c r="C1" s="4"/>
    </row>
    <row r="2" spans="1:3" ht="35.25" thickBot="1" x14ac:dyDescent="0.3">
      <c r="A2" s="1" t="s">
        <v>45</v>
      </c>
      <c r="B2" s="1" t="s">
        <v>46</v>
      </c>
      <c r="C2" s="1" t="s">
        <v>13</v>
      </c>
    </row>
    <row r="3" spans="1:3" ht="18" thickBot="1" x14ac:dyDescent="0.3">
      <c r="A3" s="2">
        <v>10</v>
      </c>
      <c r="B3" s="2">
        <v>2</v>
      </c>
      <c r="C3" s="2">
        <f>IFERROR(A3/B3,"INVALID")</f>
        <v>5</v>
      </c>
    </row>
    <row r="4" spans="1:3" ht="18" thickBot="1" x14ac:dyDescent="0.3">
      <c r="A4" s="3">
        <v>15</v>
      </c>
      <c r="B4" s="3">
        <v>0</v>
      </c>
      <c r="C4" s="2" t="str">
        <f t="shared" ref="C4:C6" si="0">IFERROR(A4/B4,"INVALID")</f>
        <v>INVALID</v>
      </c>
    </row>
    <row r="5" spans="1:3" ht="18" thickBot="1" x14ac:dyDescent="0.3">
      <c r="A5" s="2">
        <v>20</v>
      </c>
      <c r="B5" s="2">
        <v>5</v>
      </c>
      <c r="C5" s="2">
        <f t="shared" si="0"/>
        <v>4</v>
      </c>
    </row>
    <row r="6" spans="1:3" ht="18" thickBot="1" x14ac:dyDescent="0.3">
      <c r="A6" s="3">
        <v>8</v>
      </c>
      <c r="B6" s="3">
        <v>0</v>
      </c>
      <c r="C6" s="2" t="str">
        <f t="shared" si="0"/>
        <v>INVALID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83CC-7E51-4E9E-8D13-723186F1864A}">
  <dimension ref="A1:D6"/>
  <sheetViews>
    <sheetView workbookViewId="0">
      <selection activeCell="E5" sqref="E5"/>
    </sheetView>
  </sheetViews>
  <sheetFormatPr defaultRowHeight="15" x14ac:dyDescent="0.25"/>
  <cols>
    <col min="1" max="1" width="12.85546875" customWidth="1"/>
    <col min="2" max="2" width="14.140625" customWidth="1"/>
    <col min="3" max="3" width="16.85546875" customWidth="1"/>
    <col min="4" max="4" width="17.140625" customWidth="1"/>
  </cols>
  <sheetData>
    <row r="1" spans="1:4" ht="15.75" thickBot="1" x14ac:dyDescent="0.3">
      <c r="A1" s="4" t="s">
        <v>47</v>
      </c>
      <c r="B1" s="4"/>
      <c r="C1" s="4"/>
      <c r="D1" s="4"/>
    </row>
    <row r="2" spans="1:4" ht="69.75" thickBot="1" x14ac:dyDescent="0.3">
      <c r="A2" s="1" t="s">
        <v>14</v>
      </c>
      <c r="B2" s="1" t="s">
        <v>48</v>
      </c>
      <c r="C2" s="1" t="s">
        <v>4</v>
      </c>
      <c r="D2" s="1" t="s">
        <v>0</v>
      </c>
    </row>
    <row r="3" spans="1:4" ht="18" thickBot="1" x14ac:dyDescent="0.3">
      <c r="A3" s="2" t="s">
        <v>49</v>
      </c>
      <c r="B3" s="2">
        <v>45</v>
      </c>
      <c r="C3" s="2">
        <v>92</v>
      </c>
      <c r="D3" s="2" t="str">
        <f>IF(AND(C3&gt;=90,B3&gt;=40),"Excellent",IF(C3&gt;=80,"Good","Need Improvement"))</f>
        <v>Excellent</v>
      </c>
    </row>
    <row r="4" spans="1:4" ht="18" thickBot="1" x14ac:dyDescent="0.3">
      <c r="A4" s="3" t="s">
        <v>1</v>
      </c>
      <c r="B4" s="3">
        <v>38</v>
      </c>
      <c r="C4" s="3">
        <v>85</v>
      </c>
      <c r="D4" s="2" t="str">
        <f t="shared" ref="D4:D6" si="0">IF(AND(C4&gt;=90,B4&gt;=40),"Excellent",IF(C4&gt;=80,"Good","Need Improvement"))</f>
        <v>Good</v>
      </c>
    </row>
    <row r="5" spans="1:4" ht="18" thickBot="1" x14ac:dyDescent="0.3">
      <c r="A5" s="2" t="s">
        <v>2</v>
      </c>
      <c r="B5" s="2">
        <v>50</v>
      </c>
      <c r="C5" s="2">
        <v>95</v>
      </c>
      <c r="D5" s="2" t="str">
        <f t="shared" si="0"/>
        <v>Excellent</v>
      </c>
    </row>
    <row r="6" spans="1:4" ht="18" thickBot="1" x14ac:dyDescent="0.3">
      <c r="A6" s="3" t="s">
        <v>3</v>
      </c>
      <c r="B6" s="3">
        <v>30</v>
      </c>
      <c r="C6" s="3">
        <v>70</v>
      </c>
      <c r="D6" s="2" t="str">
        <f t="shared" si="0"/>
        <v>Need Improvement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Mukesh Gohel</cp:lastModifiedBy>
  <dcterms:created xsi:type="dcterms:W3CDTF">2026-06-24T09:06:57Z</dcterms:created>
  <dcterms:modified xsi:type="dcterms:W3CDTF">2026-06-24T11:03:55Z</dcterms:modified>
</cp:coreProperties>
</file>