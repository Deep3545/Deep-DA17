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d\OneDrive\Desktop\DA Excel files\"/>
    </mc:Choice>
  </mc:AlternateContent>
  <xr:revisionPtr revIDLastSave="0" documentId="13_ncr:1_{9AF422F2-1FFC-4F3B-98C3-07A2DF1EEDAC}" xr6:coauthVersionLast="47" xr6:coauthVersionMax="47" xr10:uidLastSave="{00000000-0000-0000-0000-000000000000}"/>
  <bookViews>
    <workbookView xWindow="-108" yWindow="-108" windowWidth="23256" windowHeight="12456" xr2:uid="{9BD0BECF-6D79-404F-BC69-2C659989C07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7" l="1"/>
  <c r="B23" i="7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3" i="6"/>
  <c r="E26" i="5"/>
  <c r="E25" i="5"/>
  <c r="E24" i="5"/>
  <c r="E23" i="5"/>
  <c r="E22" i="5"/>
  <c r="D24" i="4"/>
  <c r="D25" i="4"/>
  <c r="D26" i="4"/>
  <c r="D23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3" i="2"/>
  <c r="G20" i="3" l="1"/>
  <c r="G4" i="3"/>
  <c r="G11" i="3"/>
  <c r="G12" i="3"/>
  <c r="G19" i="3"/>
  <c r="G10" i="3"/>
  <c r="G18" i="3"/>
  <c r="G17" i="3"/>
  <c r="G9" i="3"/>
  <c r="G16" i="3"/>
  <c r="G8" i="3"/>
  <c r="G3" i="3"/>
  <c r="G15" i="3"/>
  <c r="G7" i="3"/>
  <c r="G22" i="3"/>
  <c r="G14" i="3"/>
  <c r="G6" i="3"/>
  <c r="G21" i="3"/>
  <c r="G13" i="3"/>
  <c r="G5" i="3"/>
</calcChain>
</file>

<file path=xl/sharedStrings.xml><?xml version="1.0" encoding="utf-8"?>
<sst xmlns="http://schemas.openxmlformats.org/spreadsheetml/2006/main" count="424" uniqueCount="217">
  <si>
    <t>SR.NO</t>
  </si>
  <si>
    <t>Name</t>
  </si>
  <si>
    <t>Parth</t>
  </si>
  <si>
    <t>Preet</t>
  </si>
  <si>
    <t>Department</t>
  </si>
  <si>
    <t>Salary</t>
  </si>
  <si>
    <t>Date of joining</t>
  </si>
  <si>
    <t>Anil</t>
  </si>
  <si>
    <t>Pooja</t>
  </si>
  <si>
    <t>Amrik</t>
  </si>
  <si>
    <t>HR</t>
  </si>
  <si>
    <t>IT</t>
  </si>
  <si>
    <t>Finance</t>
  </si>
  <si>
    <t>Sales</t>
  </si>
  <si>
    <t>Product Name</t>
  </si>
  <si>
    <t>Region</t>
  </si>
  <si>
    <t>Sales Amount</t>
  </si>
  <si>
    <t>Salesperson</t>
  </si>
  <si>
    <t>Laptop</t>
  </si>
  <si>
    <t>Mouse</t>
  </si>
  <si>
    <t>Monitor</t>
  </si>
  <si>
    <t>Printer</t>
  </si>
  <si>
    <t>Desktop</t>
  </si>
  <si>
    <t>Mousepad</t>
  </si>
  <si>
    <t>Screengurard</t>
  </si>
  <si>
    <t>Notes</t>
  </si>
  <si>
    <t>Pen</t>
  </si>
  <si>
    <t>Thinkpad</t>
  </si>
  <si>
    <t>Charger</t>
  </si>
  <si>
    <t>Macbook'</t>
  </si>
  <si>
    <t>Sketchpen</t>
  </si>
  <si>
    <t>Marker</t>
  </si>
  <si>
    <t>Laptop charger</t>
  </si>
  <si>
    <t>3D printer</t>
  </si>
  <si>
    <t>PC</t>
  </si>
  <si>
    <t>Touch pad</t>
  </si>
  <si>
    <t>North</t>
  </si>
  <si>
    <t xml:space="preserve">West </t>
  </si>
  <si>
    <t xml:space="preserve">East </t>
  </si>
  <si>
    <t>South</t>
  </si>
  <si>
    <t>Ramesh</t>
  </si>
  <si>
    <t>Arjun</t>
  </si>
  <si>
    <t>Vraj</t>
  </si>
  <si>
    <t>Chintan</t>
  </si>
  <si>
    <t>Roll no</t>
  </si>
  <si>
    <t>Student Name</t>
  </si>
  <si>
    <t>Maths</t>
  </si>
  <si>
    <t>Science</t>
  </si>
  <si>
    <t>English</t>
  </si>
  <si>
    <t>Percentage</t>
  </si>
  <si>
    <t>Daksh</t>
  </si>
  <si>
    <t>Chirag</t>
  </si>
  <si>
    <t>Bhaskar</t>
  </si>
  <si>
    <t>Divya</t>
  </si>
  <si>
    <t>Ankit</t>
  </si>
  <si>
    <t>Sakshi</t>
  </si>
  <si>
    <t>Tejas</t>
  </si>
  <si>
    <t>Jenil</t>
  </si>
  <si>
    <t>Kavya</t>
  </si>
  <si>
    <t>Jiya</t>
  </si>
  <si>
    <t>Mahi</t>
  </si>
  <si>
    <t>Nipun</t>
  </si>
  <si>
    <t>Ajay</t>
  </si>
  <si>
    <t>Darshan</t>
  </si>
  <si>
    <t>Khushi</t>
  </si>
  <si>
    <t>Suresh</t>
  </si>
  <si>
    <t>Farhan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</si>
  <si>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</si>
  <si>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</si>
  <si>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</si>
  <si>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</si>
  <si>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</si>
  <si>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</si>
  <si>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</si>
  <si>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</si>
  <si>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</si>
  <si>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</si>
  <si>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</si>
  <si>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</si>
  <si>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</si>
  <si>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</si>
  <si>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</si>
  <si>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</si>
  <si>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</si>
  <si>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</si>
  <si>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</si>
  <si>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</si>
  <si>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</si>
  <si>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</si>
  <si>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</t>
  </si>
  <si>
    <t>Avg Sales</t>
  </si>
  <si>
    <t>Lowest Sales</t>
  </si>
  <si>
    <t>Emp Name</t>
  </si>
  <si>
    <t>Mohit</t>
  </si>
  <si>
    <t>Priya</t>
  </si>
  <si>
    <t>Raj</t>
  </si>
  <si>
    <t>Ritu</t>
  </si>
  <si>
    <t>Nisha</t>
  </si>
  <si>
    <t>Pintu</t>
  </si>
  <si>
    <t>Rakesh</t>
  </si>
  <si>
    <t>Siddharth</t>
  </si>
  <si>
    <t>Pankaj</t>
  </si>
  <si>
    <t>Aarya</t>
  </si>
  <si>
    <t>Akash</t>
  </si>
  <si>
    <t>Samresh</t>
  </si>
  <si>
    <t>Hemant</t>
  </si>
  <si>
    <t>Virat</t>
  </si>
  <si>
    <t>Jigesh</t>
  </si>
  <si>
    <t>Suraj</t>
  </si>
  <si>
    <t>Highest Sales</t>
  </si>
  <si>
    <t>HR total</t>
  </si>
  <si>
    <t>IT Total</t>
  </si>
  <si>
    <t>Avg Salary</t>
  </si>
  <si>
    <t>Count emp</t>
  </si>
  <si>
    <t>Finance total</t>
  </si>
  <si>
    <t>Day 1</t>
  </si>
  <si>
    <t>Day 2</t>
  </si>
  <si>
    <t xml:space="preserve">Day 3 </t>
  </si>
  <si>
    <t>Day 4</t>
  </si>
  <si>
    <t>Bhavya</t>
  </si>
  <si>
    <t>P</t>
  </si>
  <si>
    <t>A</t>
  </si>
  <si>
    <t>Day 5</t>
  </si>
  <si>
    <t xml:space="preserve">A </t>
  </si>
  <si>
    <t>p</t>
  </si>
  <si>
    <t xml:space="preserve"> A</t>
  </si>
  <si>
    <t>Divyesh</t>
  </si>
  <si>
    <t>Anurag</t>
  </si>
  <si>
    <t>Varsha</t>
  </si>
  <si>
    <t>Sujit</t>
  </si>
  <si>
    <t>Raksha</t>
  </si>
  <si>
    <t>Ananya</t>
  </si>
  <si>
    <t>Soumil</t>
  </si>
  <si>
    <t>Soumit</t>
  </si>
  <si>
    <t>Jayesh</t>
  </si>
  <si>
    <t>Anish</t>
  </si>
  <si>
    <t>Amish</t>
  </si>
  <si>
    <t>Yug</t>
  </si>
  <si>
    <t>Devanshi</t>
  </si>
  <si>
    <t>Priyesh</t>
  </si>
  <si>
    <t xml:space="preserve">P </t>
  </si>
  <si>
    <t>Present Days</t>
  </si>
  <si>
    <t>Absent Days</t>
  </si>
  <si>
    <t>Sales Count Logic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</si>
  <si>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</si>
  <si>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</si>
  <si>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</si>
  <si>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</si>
  <si>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</si>
  <si>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</si>
  <si>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</si>
  <si>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</si>
  <si>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</si>
  <si>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</si>
  <si>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</si>
  <si>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</si>
  <si>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</si>
  <si>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</si>
  <si>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</si>
  <si>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</si>
  <si>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</si>
  <si>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</si>
  <si>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</si>
  <si>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</si>
  <si>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</si>
  <si>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Attendance Sheet</t>
  </si>
  <si>
    <t>Department wise salary Analysis</t>
  </si>
  <si>
    <t>Sales above 10000</t>
  </si>
  <si>
    <t>Sales below 5000</t>
  </si>
  <si>
    <t>Conditional Formatting</t>
  </si>
  <si>
    <t>Product</t>
  </si>
  <si>
    <t>Mobile</t>
  </si>
  <si>
    <t>Headphones</t>
  </si>
  <si>
    <t>Keyboard</t>
  </si>
  <si>
    <t>Tablet</t>
  </si>
  <si>
    <t>CPU</t>
  </si>
  <si>
    <t>Display</t>
  </si>
  <si>
    <t>Battery</t>
  </si>
  <si>
    <t>Cable</t>
  </si>
  <si>
    <t>Ipad</t>
  </si>
  <si>
    <t>Speaker</t>
  </si>
  <si>
    <t>Power Bank</t>
  </si>
  <si>
    <t>Student Result Highlight</t>
  </si>
  <si>
    <t xml:space="preserve">Name </t>
  </si>
  <si>
    <t>Marks</t>
  </si>
  <si>
    <t>Aman</t>
  </si>
  <si>
    <t>Bharti</t>
  </si>
  <si>
    <t>Chetan</t>
  </si>
  <si>
    <t>Deepa</t>
  </si>
  <si>
    <t>Ronit</t>
  </si>
  <si>
    <t>Kabir</t>
  </si>
  <si>
    <t>Takshil</t>
  </si>
  <si>
    <t>Divy</t>
  </si>
  <si>
    <t>Dhruv</t>
  </si>
  <si>
    <t>Ram</t>
  </si>
  <si>
    <t>Shyam</t>
  </si>
  <si>
    <t>Karan</t>
  </si>
  <si>
    <t>Hitarth</t>
  </si>
  <si>
    <t>Mahek</t>
  </si>
  <si>
    <t>Salary Band Conditinal Formatting</t>
  </si>
  <si>
    <t>Rohit</t>
  </si>
  <si>
    <t>Simran</t>
  </si>
  <si>
    <t>Vijay</t>
  </si>
  <si>
    <t>Mohan</t>
  </si>
  <si>
    <t>Bhargav</t>
  </si>
  <si>
    <t>Jeni</t>
  </si>
  <si>
    <t>Fenil</t>
  </si>
  <si>
    <t xml:space="preserve"> Deeopak</t>
  </si>
  <si>
    <t>Nigam</t>
  </si>
  <si>
    <t>Nisarg</t>
  </si>
  <si>
    <t>Nirav</t>
  </si>
  <si>
    <t>Deval</t>
  </si>
  <si>
    <t>Dharmik</t>
  </si>
  <si>
    <t>Employee Sheet</t>
  </si>
  <si>
    <t>Sales Report</t>
  </si>
  <si>
    <t>Sales Summary</t>
  </si>
  <si>
    <t>Students Marksheet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</si>
</sst>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2" applyNumberFormat="0" applyAlignment="0" applyProtection="0"/>
  </cellStyleXfs>
  <cellXfs count="18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0" xfId="0" applyAlignment="1">
      <alignment wrapText="1"/>
    </xf>
    <xf numFmtId="10" fontId="0" fillId="0" borderId="0" xfId="0" applyNumberFormat="1"/>
    <xf numFmtId="14" fontId="0" fillId="0" borderId="0" xfId="0" applyNumberFormat="1"/>
    <xf numFmtId="0" fontId="3" fillId="4" borderId="0" xfId="0" applyFont="1" applyFill="1"/>
    <xf numFmtId="0" fontId="2" fillId="3" borderId="2" xfId="1"/>
    <xf numFmtId="0" fontId="6" fillId="0" borderId="0" xfId="0" applyFont="1"/>
    <xf numFmtId="0" fontId="6" fillId="0" borderId="3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alculation" xfId="1" builtinId="22"/>
    <cellStyle name="Normal" xfId="0" builtinId="0"/>
  </cellStyles>
  <dxfs count="11"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7FE9-F6F8-4CB0-B7F7-BF820097BADE}">
  <dimension ref="A1:F22"/>
  <sheetViews>
    <sheetView tabSelected="1" workbookViewId="0">
      <selection activeCell="I8" sqref="I8"/>
    </sheetView>
  </sheetViews>
  <sheetFormatPr defaultRowHeight="14.4" x14ac:dyDescent="0.3"/>
  <cols>
    <col min="3" max="3" width="11.109375" customWidth="1"/>
    <col min="4" max="4" width="10.6640625" bestFit="1" customWidth="1"/>
    <col min="5" max="5" width="10.44140625" bestFit="1" customWidth="1"/>
  </cols>
  <sheetData>
    <row r="1" spans="1:6" ht="15.6" x14ac:dyDescent="0.3">
      <c r="A1" s="12" t="s">
        <v>213</v>
      </c>
      <c r="B1" s="12"/>
    </row>
    <row r="2" spans="1:6" x14ac:dyDescent="0.3">
      <c r="A2" s="2" t="s">
        <v>0</v>
      </c>
      <c r="B2" s="2" t="s">
        <v>1</v>
      </c>
      <c r="C2" s="2" t="s">
        <v>4</v>
      </c>
      <c r="D2" s="2" t="s">
        <v>5</v>
      </c>
      <c r="E2" s="2" t="s">
        <v>6</v>
      </c>
      <c r="F2" s="2"/>
    </row>
    <row r="3" spans="1:6" x14ac:dyDescent="0.3">
      <c r="A3" s="3">
        <v>1</v>
      </c>
      <c r="B3" s="3" t="s">
        <v>7</v>
      </c>
      <c r="C3" s="3" t="s">
        <v>10</v>
      </c>
      <c r="D3" s="4">
        <v>32000</v>
      </c>
      <c r="E3" s="5">
        <v>44573</v>
      </c>
      <c r="F3" s="3"/>
    </row>
    <row r="4" spans="1:6" x14ac:dyDescent="0.3">
      <c r="A4" s="3">
        <v>2</v>
      </c>
      <c r="B4" s="3" t="s">
        <v>8</v>
      </c>
      <c r="C4" s="3" t="s">
        <v>11</v>
      </c>
      <c r="D4" s="4">
        <v>45000</v>
      </c>
      <c r="E4" s="5">
        <v>44260</v>
      </c>
      <c r="F4" s="3"/>
    </row>
    <row r="5" spans="1:6" x14ac:dyDescent="0.3">
      <c r="A5" s="3">
        <v>3</v>
      </c>
      <c r="B5" s="3" t="s">
        <v>2</v>
      </c>
      <c r="C5" s="3" t="s">
        <v>12</v>
      </c>
      <c r="D5" s="4">
        <v>38000</v>
      </c>
      <c r="E5" s="5">
        <v>44030</v>
      </c>
      <c r="F5" s="3"/>
    </row>
    <row r="6" spans="1:6" x14ac:dyDescent="0.3">
      <c r="A6" s="3">
        <v>4</v>
      </c>
      <c r="B6" s="3" t="s">
        <v>3</v>
      </c>
      <c r="C6" s="3" t="s">
        <v>11</v>
      </c>
      <c r="D6" s="4">
        <v>52000</v>
      </c>
      <c r="E6" s="5">
        <v>43779</v>
      </c>
      <c r="F6" s="3"/>
    </row>
    <row r="7" spans="1:6" x14ac:dyDescent="0.3">
      <c r="A7" s="3">
        <v>5</v>
      </c>
      <c r="B7" s="3" t="s">
        <v>9</v>
      </c>
      <c r="C7" s="3" t="s">
        <v>13</v>
      </c>
      <c r="D7" s="4">
        <v>30000</v>
      </c>
      <c r="E7" s="5">
        <v>45102</v>
      </c>
      <c r="F7" s="3"/>
    </row>
    <row r="8" spans="1:6" x14ac:dyDescent="0.3">
      <c r="A8" s="3">
        <v>6</v>
      </c>
      <c r="B8" s="3" t="s">
        <v>7</v>
      </c>
      <c r="C8" s="3" t="s">
        <v>10</v>
      </c>
      <c r="D8" s="4">
        <v>40300</v>
      </c>
      <c r="E8" s="5">
        <v>44573</v>
      </c>
      <c r="F8" s="3"/>
    </row>
    <row r="9" spans="1:6" x14ac:dyDescent="0.3">
      <c r="A9" s="3">
        <v>7</v>
      </c>
      <c r="B9" s="3" t="s">
        <v>8</v>
      </c>
      <c r="C9" s="3" t="s">
        <v>11</v>
      </c>
      <c r="D9" s="4">
        <v>40600</v>
      </c>
      <c r="E9" s="5">
        <v>44260</v>
      </c>
      <c r="F9" s="3"/>
    </row>
    <row r="10" spans="1:6" x14ac:dyDescent="0.3">
      <c r="A10" s="3">
        <v>8</v>
      </c>
      <c r="B10" s="3" t="s">
        <v>2</v>
      </c>
      <c r="C10" s="3" t="s">
        <v>12</v>
      </c>
      <c r="D10" s="4">
        <v>40900</v>
      </c>
      <c r="E10" s="5">
        <v>44030</v>
      </c>
      <c r="F10" s="3"/>
    </row>
    <row r="11" spans="1:6" x14ac:dyDescent="0.3">
      <c r="A11" s="3">
        <v>9</v>
      </c>
      <c r="B11" s="3" t="s">
        <v>3</v>
      </c>
      <c r="C11" s="3" t="s">
        <v>11</v>
      </c>
      <c r="D11" s="4">
        <v>41200</v>
      </c>
      <c r="E11" s="5">
        <v>43779</v>
      </c>
      <c r="F11" s="3"/>
    </row>
    <row r="12" spans="1:6" x14ac:dyDescent="0.3">
      <c r="A12" s="3">
        <v>10</v>
      </c>
      <c r="B12" s="3" t="s">
        <v>9</v>
      </c>
      <c r="C12" s="3" t="s">
        <v>13</v>
      </c>
      <c r="D12" s="4">
        <v>41500</v>
      </c>
      <c r="E12" s="5">
        <v>45102</v>
      </c>
      <c r="F12" s="3"/>
    </row>
    <row r="13" spans="1:6" x14ac:dyDescent="0.3">
      <c r="A13" s="3">
        <v>11</v>
      </c>
      <c r="B13" s="3" t="s">
        <v>7</v>
      </c>
      <c r="C13" s="3" t="s">
        <v>10</v>
      </c>
      <c r="D13" s="4">
        <v>41800</v>
      </c>
      <c r="E13" s="5">
        <v>44573</v>
      </c>
      <c r="F13" s="3"/>
    </row>
    <row r="14" spans="1:6" x14ac:dyDescent="0.3">
      <c r="A14" s="3">
        <v>12</v>
      </c>
      <c r="B14" s="3" t="s">
        <v>8</v>
      </c>
      <c r="C14" s="3" t="s">
        <v>11</v>
      </c>
      <c r="D14" s="4">
        <v>42100</v>
      </c>
      <c r="E14" s="5">
        <v>44260</v>
      </c>
      <c r="F14" s="3"/>
    </row>
    <row r="15" spans="1:6" x14ac:dyDescent="0.3">
      <c r="A15" s="3">
        <v>13</v>
      </c>
      <c r="B15" s="3" t="s">
        <v>2</v>
      </c>
      <c r="C15" s="3" t="s">
        <v>12</v>
      </c>
      <c r="D15" s="4">
        <v>42400</v>
      </c>
      <c r="E15" s="5">
        <v>44030</v>
      </c>
      <c r="F15" s="3"/>
    </row>
    <row r="16" spans="1:6" x14ac:dyDescent="0.3">
      <c r="A16" s="3">
        <v>14</v>
      </c>
      <c r="B16" s="3" t="s">
        <v>3</v>
      </c>
      <c r="C16" s="3" t="s">
        <v>11</v>
      </c>
      <c r="D16" s="4">
        <v>42700</v>
      </c>
      <c r="E16" s="5">
        <v>43779</v>
      </c>
      <c r="F16" s="3"/>
    </row>
    <row r="17" spans="1:6" x14ac:dyDescent="0.3">
      <c r="A17" s="3">
        <v>15</v>
      </c>
      <c r="B17" s="3" t="s">
        <v>9</v>
      </c>
      <c r="C17" s="3" t="s">
        <v>13</v>
      </c>
      <c r="D17" s="4">
        <v>43000</v>
      </c>
      <c r="E17" s="5">
        <v>45102</v>
      </c>
      <c r="F17" s="3"/>
    </row>
    <row r="18" spans="1:6" x14ac:dyDescent="0.3">
      <c r="A18" s="3">
        <v>16</v>
      </c>
      <c r="B18" s="3" t="s">
        <v>7</v>
      </c>
      <c r="C18" s="3" t="s">
        <v>10</v>
      </c>
      <c r="D18" s="4">
        <v>43300</v>
      </c>
      <c r="E18" s="5">
        <v>44573</v>
      </c>
      <c r="F18" s="3"/>
    </row>
    <row r="19" spans="1:6" x14ac:dyDescent="0.3">
      <c r="A19" s="3">
        <v>17</v>
      </c>
      <c r="B19" s="3" t="s">
        <v>8</v>
      </c>
      <c r="C19" s="3" t="s">
        <v>11</v>
      </c>
      <c r="D19" s="4">
        <v>43600</v>
      </c>
      <c r="E19" s="5">
        <v>44260</v>
      </c>
      <c r="F19" s="3"/>
    </row>
    <row r="20" spans="1:6" x14ac:dyDescent="0.3">
      <c r="A20" s="3">
        <v>18</v>
      </c>
      <c r="B20" s="3" t="s">
        <v>2</v>
      </c>
      <c r="C20" s="3" t="s">
        <v>12</v>
      </c>
      <c r="D20" s="4">
        <v>43900</v>
      </c>
      <c r="E20" s="5">
        <v>44030</v>
      </c>
      <c r="F20" s="3"/>
    </row>
    <row r="21" spans="1:6" x14ac:dyDescent="0.3">
      <c r="A21" s="3">
        <v>19</v>
      </c>
      <c r="B21" s="3" t="s">
        <v>8</v>
      </c>
      <c r="C21" s="3" t="s">
        <v>11</v>
      </c>
      <c r="D21" s="4">
        <v>44200</v>
      </c>
      <c r="E21" s="5">
        <v>43779</v>
      </c>
      <c r="F21" s="3"/>
    </row>
    <row r="22" spans="1:6" x14ac:dyDescent="0.3">
      <c r="A22" s="3">
        <v>20</v>
      </c>
      <c r="B22" s="3" t="s">
        <v>2</v>
      </c>
      <c r="C22" s="3" t="s">
        <v>13</v>
      </c>
      <c r="D22" s="4">
        <v>44500</v>
      </c>
      <c r="E22" s="5">
        <v>45102</v>
      </c>
      <c r="F22" s="3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E5D3-FBD9-47B4-BBCC-02CD8311A904}">
  <dimension ref="A1:H21"/>
  <sheetViews>
    <sheetView topLeftCell="A13" workbookViewId="0">
      <selection activeCell="J8" sqref="J8"/>
    </sheetView>
  </sheetViews>
  <sheetFormatPr defaultRowHeight="14.4" x14ac:dyDescent="0.3"/>
  <cols>
    <col min="4" max="4" width="10.6640625" bestFit="1" customWidth="1"/>
  </cols>
  <sheetData>
    <row r="1" spans="1:8" ht="15.6" x14ac:dyDescent="0.3">
      <c r="A1" s="13" t="s">
        <v>214</v>
      </c>
      <c r="B1" s="13"/>
      <c r="C1" s="13"/>
      <c r="D1" s="13"/>
      <c r="E1" s="13"/>
      <c r="F1" s="13"/>
    </row>
    <row r="2" spans="1:8" x14ac:dyDescent="0.3">
      <c r="A2" t="s">
        <v>14</v>
      </c>
      <c r="C2" t="s">
        <v>15</v>
      </c>
      <c r="D2" t="s">
        <v>16</v>
      </c>
      <c r="F2" t="s">
        <v>17</v>
      </c>
    </row>
    <row r="3" spans="1:8" x14ac:dyDescent="0.3">
      <c r="A3" s="6" t="s">
        <v>18</v>
      </c>
      <c r="C3" t="s">
        <v>36</v>
      </c>
      <c r="D3" s="1">
        <f ca="1">RANDBETWEEN(10000,50000)</f>
        <v>23674</v>
      </c>
      <c r="F3" t="s">
        <v>40</v>
      </c>
    </row>
    <row r="4" spans="1:8" x14ac:dyDescent="0.3">
      <c r="A4" s="6" t="s">
        <v>19</v>
      </c>
      <c r="C4" t="s">
        <v>37</v>
      </c>
      <c r="D4" s="1">
        <f t="shared" ref="D4:D21" ca="1" si="0">RANDBETWEEN(10000,50000)</f>
        <v>41310</v>
      </c>
      <c r="F4" t="s">
        <v>41</v>
      </c>
      <c r="H4" s="9"/>
    </row>
    <row r="5" spans="1:8" x14ac:dyDescent="0.3">
      <c r="A5" s="6" t="s">
        <v>20</v>
      </c>
      <c r="C5" t="s">
        <v>38</v>
      </c>
      <c r="D5" s="1">
        <f t="shared" ca="1" si="0"/>
        <v>39462</v>
      </c>
      <c r="F5" t="s">
        <v>42</v>
      </c>
    </row>
    <row r="6" spans="1:8" x14ac:dyDescent="0.3">
      <c r="A6" s="6" t="s">
        <v>21</v>
      </c>
      <c r="C6" t="s">
        <v>39</v>
      </c>
      <c r="D6" s="1">
        <f t="shared" ca="1" si="0"/>
        <v>32974</v>
      </c>
      <c r="F6" t="s">
        <v>43</v>
      </c>
    </row>
    <row r="7" spans="1:8" x14ac:dyDescent="0.3">
      <c r="A7" s="6" t="s">
        <v>22</v>
      </c>
      <c r="C7" t="s">
        <v>36</v>
      </c>
      <c r="D7" s="1">
        <f t="shared" ca="1" si="0"/>
        <v>11308</v>
      </c>
      <c r="F7" t="s">
        <v>40</v>
      </c>
    </row>
    <row r="8" spans="1:8" ht="28.8" x14ac:dyDescent="0.3">
      <c r="A8" s="6" t="s">
        <v>23</v>
      </c>
      <c r="C8" t="s">
        <v>37</v>
      </c>
      <c r="D8" s="1">
        <f t="shared" ca="1" si="0"/>
        <v>29652</v>
      </c>
      <c r="F8" t="s">
        <v>41</v>
      </c>
    </row>
    <row r="9" spans="1:8" ht="28.8" x14ac:dyDescent="0.3">
      <c r="A9" s="6" t="s">
        <v>24</v>
      </c>
      <c r="C9" t="s">
        <v>38</v>
      </c>
      <c r="D9" s="1">
        <f t="shared" ca="1" si="0"/>
        <v>14551</v>
      </c>
      <c r="F9" t="s">
        <v>42</v>
      </c>
    </row>
    <row r="10" spans="1:8" x14ac:dyDescent="0.3">
      <c r="A10" s="6" t="s">
        <v>25</v>
      </c>
      <c r="C10" t="s">
        <v>39</v>
      </c>
      <c r="D10" s="1">
        <f t="shared" ca="1" si="0"/>
        <v>28901</v>
      </c>
      <c r="F10" t="s">
        <v>43</v>
      </c>
    </row>
    <row r="11" spans="1:8" x14ac:dyDescent="0.3">
      <c r="A11" s="6" t="s">
        <v>26</v>
      </c>
      <c r="C11" t="s">
        <v>36</v>
      </c>
      <c r="D11" s="1">
        <f t="shared" ca="1" si="0"/>
        <v>31129</v>
      </c>
      <c r="F11" t="s">
        <v>40</v>
      </c>
    </row>
    <row r="12" spans="1:8" x14ac:dyDescent="0.3">
      <c r="A12" s="6" t="s">
        <v>27</v>
      </c>
      <c r="C12" t="s">
        <v>37</v>
      </c>
      <c r="D12" s="1">
        <f t="shared" ca="1" si="0"/>
        <v>40644</v>
      </c>
      <c r="F12" t="s">
        <v>41</v>
      </c>
    </row>
    <row r="13" spans="1:8" x14ac:dyDescent="0.3">
      <c r="A13" s="6" t="s">
        <v>28</v>
      </c>
      <c r="C13" t="s">
        <v>38</v>
      </c>
      <c r="D13" s="1">
        <f t="shared" ca="1" si="0"/>
        <v>13335</v>
      </c>
      <c r="F13" t="s">
        <v>42</v>
      </c>
    </row>
    <row r="14" spans="1:8" ht="28.8" x14ac:dyDescent="0.3">
      <c r="A14" s="6" t="s">
        <v>29</v>
      </c>
      <c r="C14" t="s">
        <v>39</v>
      </c>
      <c r="D14" s="1">
        <f t="shared" ca="1" si="0"/>
        <v>16058</v>
      </c>
      <c r="F14" t="s">
        <v>43</v>
      </c>
    </row>
    <row r="15" spans="1:8" ht="28.8" x14ac:dyDescent="0.3">
      <c r="A15" s="6" t="s">
        <v>30</v>
      </c>
      <c r="C15" t="s">
        <v>36</v>
      </c>
      <c r="D15" s="1">
        <f t="shared" ca="1" si="0"/>
        <v>41586</v>
      </c>
      <c r="F15" t="s">
        <v>40</v>
      </c>
    </row>
    <row r="16" spans="1:8" x14ac:dyDescent="0.3">
      <c r="A16" s="6" t="s">
        <v>31</v>
      </c>
      <c r="C16" t="s">
        <v>37</v>
      </c>
      <c r="D16" s="1">
        <f t="shared" ca="1" si="0"/>
        <v>10659</v>
      </c>
      <c r="F16" t="s">
        <v>41</v>
      </c>
    </row>
    <row r="17" spans="1:6" x14ac:dyDescent="0.3">
      <c r="A17" s="6" t="s">
        <v>28</v>
      </c>
      <c r="C17" t="s">
        <v>38</v>
      </c>
      <c r="D17" s="1">
        <f t="shared" ca="1" si="0"/>
        <v>17560</v>
      </c>
      <c r="F17" t="s">
        <v>42</v>
      </c>
    </row>
    <row r="18" spans="1:6" ht="28.8" x14ac:dyDescent="0.3">
      <c r="A18" s="6" t="s">
        <v>32</v>
      </c>
      <c r="C18" t="s">
        <v>39</v>
      </c>
      <c r="D18" s="1">
        <f t="shared" ca="1" si="0"/>
        <v>30220</v>
      </c>
      <c r="F18" t="s">
        <v>43</v>
      </c>
    </row>
    <row r="19" spans="1:6" ht="28.8" x14ac:dyDescent="0.3">
      <c r="A19" s="6" t="s">
        <v>33</v>
      </c>
      <c r="C19" t="s">
        <v>36</v>
      </c>
      <c r="D19" s="1">
        <f t="shared" ca="1" si="0"/>
        <v>47489</v>
      </c>
      <c r="F19" t="s">
        <v>40</v>
      </c>
    </row>
    <row r="20" spans="1:6" x14ac:dyDescent="0.3">
      <c r="A20" s="6" t="s">
        <v>34</v>
      </c>
      <c r="C20" t="s">
        <v>37</v>
      </c>
      <c r="D20" s="1">
        <f t="shared" ca="1" si="0"/>
        <v>40690</v>
      </c>
      <c r="F20" t="s">
        <v>41</v>
      </c>
    </row>
    <row r="21" spans="1:6" ht="28.8" x14ac:dyDescent="0.3">
      <c r="A21" s="6" t="s">
        <v>35</v>
      </c>
      <c r="C21" t="s">
        <v>38</v>
      </c>
      <c r="D21" s="1">
        <f t="shared" ca="1" si="0"/>
        <v>33403</v>
      </c>
      <c r="F21" t="s">
        <v>42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20A3-AA06-4622-AE62-9F3AF5CF1F88}">
  <dimension ref="A1:H22"/>
  <sheetViews>
    <sheetView workbookViewId="0">
      <selection activeCell="I6" sqref="I6"/>
    </sheetView>
  </sheetViews>
  <sheetFormatPr defaultRowHeight="14.4" x14ac:dyDescent="0.3"/>
  <sheetData>
    <row r="1" spans="1:8" ht="15.6" x14ac:dyDescent="0.3">
      <c r="C1" s="11" t="s">
        <v>216</v>
      </c>
    </row>
    <row r="2" spans="1:8" x14ac:dyDescent="0.3">
      <c r="A2" s="10" t="s">
        <v>44</v>
      </c>
      <c r="B2" s="10" t="s">
        <v>45</v>
      </c>
      <c r="C2" s="10"/>
      <c r="D2" s="10" t="s">
        <v>46</v>
      </c>
      <c r="E2" s="10" t="s">
        <v>47</v>
      </c>
      <c r="F2" s="10" t="s">
        <v>48</v>
      </c>
      <c r="G2" s="10" t="s">
        <v>49</v>
      </c>
      <c r="H2" s="10"/>
    </row>
    <row r="3" spans="1:8" x14ac:dyDescent="0.3">
      <c r="A3">
        <v>1</v>
      </c>
      <c r="B3" t="s">
        <v>50</v>
      </c>
      <c r="D3">
        <v>78</v>
      </c>
      <c r="E3">
        <f ca="1">RANDBETWEEN(10,100)</f>
        <v>70</v>
      </c>
      <c r="F3">
        <f ca="1">RANDBETWEEN(10,100)</f>
        <v>20</v>
      </c>
      <c r="G3" s="7">
        <f ca="1">AVERAGE(D3,E3,F3)</f>
        <v>56</v>
      </c>
    </row>
    <row r="4" spans="1:8" x14ac:dyDescent="0.3">
      <c r="A4">
        <v>2</v>
      </c>
      <c r="B4" t="s">
        <v>51</v>
      </c>
      <c r="D4">
        <v>65</v>
      </c>
      <c r="E4">
        <f t="shared" ref="E4:F22" ca="1" si="0">RANDBETWEEN(10,100)</f>
        <v>53</v>
      </c>
      <c r="F4">
        <f t="shared" ca="1" si="0"/>
        <v>55</v>
      </c>
      <c r="G4" s="7">
        <f t="shared" ref="G4:G22" ca="1" si="1">AVERAGE(D4,E4,F4)</f>
        <v>57.666666666666664</v>
      </c>
    </row>
    <row r="5" spans="1:8" x14ac:dyDescent="0.3">
      <c r="A5">
        <v>3</v>
      </c>
      <c r="B5" t="s">
        <v>52</v>
      </c>
      <c r="D5">
        <v>90</v>
      </c>
      <c r="E5">
        <f t="shared" ca="1" si="0"/>
        <v>82</v>
      </c>
      <c r="F5">
        <f t="shared" ca="1" si="0"/>
        <v>91</v>
      </c>
      <c r="G5" s="7">
        <f t="shared" ca="1" si="1"/>
        <v>87.666666666666671</v>
      </c>
    </row>
    <row r="6" spans="1:8" x14ac:dyDescent="0.3">
      <c r="A6">
        <v>4</v>
      </c>
      <c r="B6" t="s">
        <v>53</v>
      </c>
      <c r="D6">
        <v>35</v>
      </c>
      <c r="E6">
        <f t="shared" ca="1" si="0"/>
        <v>55</v>
      </c>
      <c r="F6">
        <f t="shared" ca="1" si="0"/>
        <v>66</v>
      </c>
      <c r="G6" s="7">
        <f t="shared" ca="1" si="1"/>
        <v>52</v>
      </c>
    </row>
    <row r="7" spans="1:8" x14ac:dyDescent="0.3">
      <c r="A7">
        <v>5</v>
      </c>
      <c r="B7" t="s">
        <v>54</v>
      </c>
      <c r="D7">
        <v>55</v>
      </c>
      <c r="E7">
        <f t="shared" ca="1" si="0"/>
        <v>19</v>
      </c>
      <c r="F7">
        <f t="shared" ca="1" si="0"/>
        <v>57</v>
      </c>
      <c r="G7" s="7">
        <f t="shared" ca="1" si="1"/>
        <v>43.666666666666664</v>
      </c>
    </row>
    <row r="8" spans="1:8" x14ac:dyDescent="0.3">
      <c r="A8">
        <v>6</v>
      </c>
      <c r="B8" t="s">
        <v>42</v>
      </c>
      <c r="D8">
        <v>68</v>
      </c>
      <c r="E8">
        <f t="shared" ca="1" si="0"/>
        <v>11</v>
      </c>
      <c r="F8">
        <f t="shared" ca="1" si="0"/>
        <v>12</v>
      </c>
      <c r="G8" s="7">
        <f t="shared" ca="1" si="1"/>
        <v>30.333333333333332</v>
      </c>
    </row>
    <row r="9" spans="1:8" x14ac:dyDescent="0.3">
      <c r="A9">
        <v>7</v>
      </c>
      <c r="B9" t="s">
        <v>55</v>
      </c>
      <c r="D9">
        <v>71</v>
      </c>
      <c r="E9">
        <f t="shared" ca="1" si="0"/>
        <v>75</v>
      </c>
      <c r="F9">
        <f t="shared" ca="1" si="0"/>
        <v>97</v>
      </c>
      <c r="G9" s="7">
        <f t="shared" ca="1" si="1"/>
        <v>81</v>
      </c>
    </row>
    <row r="10" spans="1:8" x14ac:dyDescent="0.3">
      <c r="A10">
        <v>8</v>
      </c>
      <c r="B10" t="s">
        <v>56</v>
      </c>
      <c r="D10">
        <v>62</v>
      </c>
      <c r="E10">
        <f t="shared" ca="1" si="0"/>
        <v>90</v>
      </c>
      <c r="F10">
        <f t="shared" ca="1" si="0"/>
        <v>16</v>
      </c>
      <c r="G10" s="7">
        <f t="shared" ca="1" si="1"/>
        <v>56</v>
      </c>
    </row>
    <row r="11" spans="1:8" x14ac:dyDescent="0.3">
      <c r="A11">
        <v>9</v>
      </c>
      <c r="B11" t="s">
        <v>57</v>
      </c>
      <c r="D11">
        <v>89</v>
      </c>
      <c r="E11">
        <f t="shared" ca="1" si="0"/>
        <v>40</v>
      </c>
      <c r="F11">
        <f t="shared" ca="1" si="0"/>
        <v>59</v>
      </c>
      <c r="G11" s="7">
        <f t="shared" ca="1" si="1"/>
        <v>62.666666666666664</v>
      </c>
    </row>
    <row r="12" spans="1:8" x14ac:dyDescent="0.3">
      <c r="A12">
        <v>10</v>
      </c>
      <c r="B12" t="s">
        <v>58</v>
      </c>
      <c r="D12">
        <v>75</v>
      </c>
      <c r="E12">
        <f t="shared" ca="1" si="0"/>
        <v>37</v>
      </c>
      <c r="F12">
        <f t="shared" ca="1" si="0"/>
        <v>54</v>
      </c>
      <c r="G12" s="7">
        <f t="shared" ca="1" si="1"/>
        <v>55.333333333333336</v>
      </c>
    </row>
    <row r="13" spans="1:8" x14ac:dyDescent="0.3">
      <c r="A13">
        <v>11</v>
      </c>
      <c r="B13" t="s">
        <v>2</v>
      </c>
      <c r="D13">
        <v>90</v>
      </c>
      <c r="E13">
        <f t="shared" ca="1" si="0"/>
        <v>86</v>
      </c>
      <c r="F13">
        <f t="shared" ca="1" si="0"/>
        <v>33</v>
      </c>
      <c r="G13" s="7">
        <f t="shared" ca="1" si="1"/>
        <v>69.666666666666671</v>
      </c>
    </row>
    <row r="14" spans="1:8" x14ac:dyDescent="0.3">
      <c r="A14">
        <v>12</v>
      </c>
      <c r="B14" t="s">
        <v>59</v>
      </c>
      <c r="D14">
        <v>88</v>
      </c>
      <c r="E14">
        <f t="shared" ca="1" si="0"/>
        <v>24</v>
      </c>
      <c r="F14">
        <f t="shared" ca="1" si="0"/>
        <v>44</v>
      </c>
      <c r="G14" s="7">
        <f t="shared" ca="1" si="1"/>
        <v>52</v>
      </c>
    </row>
    <row r="15" spans="1:8" x14ac:dyDescent="0.3">
      <c r="A15">
        <v>13</v>
      </c>
      <c r="B15" t="s">
        <v>60</v>
      </c>
      <c r="D15">
        <v>55</v>
      </c>
      <c r="E15">
        <f t="shared" ca="1" si="0"/>
        <v>29</v>
      </c>
      <c r="F15">
        <f t="shared" ca="1" si="0"/>
        <v>90</v>
      </c>
      <c r="G15" s="7">
        <f t="shared" ca="1" si="1"/>
        <v>58</v>
      </c>
    </row>
    <row r="16" spans="1:8" x14ac:dyDescent="0.3">
      <c r="A16">
        <v>14</v>
      </c>
      <c r="B16" t="s">
        <v>61</v>
      </c>
      <c r="D16">
        <v>49</v>
      </c>
      <c r="E16">
        <f t="shared" ca="1" si="0"/>
        <v>73</v>
      </c>
      <c r="F16">
        <f t="shared" ca="1" si="0"/>
        <v>56</v>
      </c>
      <c r="G16" s="7">
        <f t="shared" ca="1" si="1"/>
        <v>59.333333333333336</v>
      </c>
    </row>
    <row r="17" spans="1:7" x14ac:dyDescent="0.3">
      <c r="A17">
        <v>15</v>
      </c>
      <c r="B17" t="s">
        <v>62</v>
      </c>
      <c r="D17">
        <v>88</v>
      </c>
      <c r="E17">
        <f t="shared" ca="1" si="0"/>
        <v>84</v>
      </c>
      <c r="F17">
        <f t="shared" ca="1" si="0"/>
        <v>51</v>
      </c>
      <c r="G17" s="7">
        <f t="shared" ca="1" si="1"/>
        <v>74.333333333333329</v>
      </c>
    </row>
    <row r="18" spans="1:7" x14ac:dyDescent="0.3">
      <c r="A18">
        <v>16</v>
      </c>
      <c r="B18" t="s">
        <v>63</v>
      </c>
      <c r="D18">
        <v>72</v>
      </c>
      <c r="E18">
        <f t="shared" ca="1" si="0"/>
        <v>86</v>
      </c>
      <c r="F18">
        <f t="shared" ca="1" si="0"/>
        <v>25</v>
      </c>
      <c r="G18" s="7">
        <f t="shared" ca="1" si="1"/>
        <v>61</v>
      </c>
    </row>
    <row r="19" spans="1:7" x14ac:dyDescent="0.3">
      <c r="A19">
        <v>17</v>
      </c>
      <c r="B19" t="s">
        <v>64</v>
      </c>
      <c r="D19">
        <v>91</v>
      </c>
      <c r="E19">
        <f t="shared" ca="1" si="0"/>
        <v>83</v>
      </c>
      <c r="F19">
        <f t="shared" ca="1" si="0"/>
        <v>28</v>
      </c>
      <c r="G19" s="7">
        <f t="shared" ca="1" si="1"/>
        <v>67.333333333333329</v>
      </c>
    </row>
    <row r="20" spans="1:7" x14ac:dyDescent="0.3">
      <c r="A20">
        <v>18</v>
      </c>
      <c r="B20" t="s">
        <v>40</v>
      </c>
      <c r="D20">
        <v>84</v>
      </c>
      <c r="E20">
        <f t="shared" ca="1" si="0"/>
        <v>59</v>
      </c>
      <c r="F20">
        <f t="shared" ca="1" si="0"/>
        <v>35</v>
      </c>
      <c r="G20" s="7">
        <f t="shared" ca="1" si="1"/>
        <v>59.333333333333336</v>
      </c>
    </row>
    <row r="21" spans="1:7" x14ac:dyDescent="0.3">
      <c r="A21">
        <v>19</v>
      </c>
      <c r="B21" t="s">
        <v>65</v>
      </c>
      <c r="D21">
        <v>61</v>
      </c>
      <c r="E21">
        <f t="shared" ca="1" si="0"/>
        <v>40</v>
      </c>
      <c r="F21">
        <f t="shared" ca="1" si="0"/>
        <v>83</v>
      </c>
      <c r="G21" s="7">
        <f t="shared" ca="1" si="1"/>
        <v>61.333333333333336</v>
      </c>
    </row>
    <row r="22" spans="1:7" x14ac:dyDescent="0.3">
      <c r="A22">
        <v>20</v>
      </c>
      <c r="B22" t="s">
        <v>66</v>
      </c>
      <c r="D22">
        <v>78</v>
      </c>
      <c r="E22">
        <f t="shared" ca="1" si="0"/>
        <v>68</v>
      </c>
      <c r="F22">
        <f t="shared" ca="1" si="0"/>
        <v>81</v>
      </c>
      <c r="G22" s="7">
        <f t="shared" ca="1" si="1"/>
        <v>75.666666666666671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CD57-7A2E-4C50-8C00-26207A8F1B6A}">
  <dimension ref="A1:D26"/>
  <sheetViews>
    <sheetView workbookViewId="0">
      <selection activeCell="I6" sqref="I6"/>
    </sheetView>
  </sheetViews>
  <sheetFormatPr defaultRowHeight="14.4" x14ac:dyDescent="0.3"/>
  <cols>
    <col min="3" max="3" width="10.44140625" bestFit="1" customWidth="1"/>
  </cols>
  <sheetData>
    <row r="1" spans="1:4" ht="15.6" x14ac:dyDescent="0.3">
      <c r="A1" s="14" t="s">
        <v>215</v>
      </c>
      <c r="B1" s="14"/>
    </row>
    <row r="2" spans="1:4" x14ac:dyDescent="0.3">
      <c r="A2" t="s">
        <v>67</v>
      </c>
      <c r="C2" t="s">
        <v>68</v>
      </c>
      <c r="D2" t="s">
        <v>16</v>
      </c>
    </row>
    <row r="3" spans="1:4" x14ac:dyDescent="0.3">
      <c r="A3" t="s">
        <v>69</v>
      </c>
      <c r="C3" s="8">
        <v>45292</v>
      </c>
      <c r="D3">
        <v>12000</v>
      </c>
    </row>
    <row r="4" spans="1:4" x14ac:dyDescent="0.3">
      <c r="A4" t="s">
        <v>70</v>
      </c>
      <c r="C4" s="8">
        <v>45294</v>
      </c>
      <c r="D4">
        <v>25000</v>
      </c>
    </row>
    <row r="5" spans="1:4" x14ac:dyDescent="0.3">
      <c r="A5" t="s">
        <v>71</v>
      </c>
      <c r="C5" s="8">
        <v>45296</v>
      </c>
      <c r="D5">
        <v>8000</v>
      </c>
    </row>
    <row r="6" spans="1:4" x14ac:dyDescent="0.3">
      <c r="A6" t="s">
        <v>72</v>
      </c>
      <c r="C6" s="8">
        <v>45299</v>
      </c>
      <c r="D6">
        <v>32000</v>
      </c>
    </row>
    <row r="7" spans="1:4" x14ac:dyDescent="0.3">
      <c r="A7" t="s">
        <v>73</v>
      </c>
      <c r="C7" s="8">
        <v>45301</v>
      </c>
      <c r="D7">
        <v>17000</v>
      </c>
    </row>
    <row r="8" spans="1:4" x14ac:dyDescent="0.3">
      <c r="A8" t="s">
        <v>74</v>
      </c>
      <c r="C8" s="8">
        <v>45342</v>
      </c>
      <c r="D8">
        <v>15000</v>
      </c>
    </row>
    <row r="9" spans="1:4" x14ac:dyDescent="0.3">
      <c r="A9" t="s">
        <v>75</v>
      </c>
      <c r="C9" s="8">
        <v>45197</v>
      </c>
      <c r="D9">
        <v>22000</v>
      </c>
    </row>
    <row r="10" spans="1:4" x14ac:dyDescent="0.3">
      <c r="A10" t="s">
        <v>76</v>
      </c>
      <c r="C10" s="8">
        <v>44400</v>
      </c>
      <c r="D10">
        <v>27000</v>
      </c>
    </row>
    <row r="11" spans="1:4" x14ac:dyDescent="0.3">
      <c r="A11" t="s">
        <v>77</v>
      </c>
      <c r="C11" s="8">
        <v>44088</v>
      </c>
      <c r="D11">
        <v>24000</v>
      </c>
    </row>
    <row r="12" spans="1:4" x14ac:dyDescent="0.3">
      <c r="A12" t="s">
        <v>78</v>
      </c>
      <c r="C12" s="8">
        <v>44699</v>
      </c>
      <c r="D12">
        <v>21000</v>
      </c>
    </row>
    <row r="13" spans="1:4" x14ac:dyDescent="0.3">
      <c r="A13" t="s">
        <v>79</v>
      </c>
      <c r="C13" s="8">
        <v>44052</v>
      </c>
      <c r="D13">
        <v>15000</v>
      </c>
    </row>
    <row r="14" spans="1:4" x14ac:dyDescent="0.3">
      <c r="A14" t="s">
        <v>80</v>
      </c>
      <c r="C14" s="8">
        <v>44489</v>
      </c>
      <c r="D14">
        <v>27000</v>
      </c>
    </row>
    <row r="15" spans="1:4" x14ac:dyDescent="0.3">
      <c r="A15" t="s">
        <v>81</v>
      </c>
      <c r="C15" s="8">
        <v>43840</v>
      </c>
      <c r="D15">
        <v>18000</v>
      </c>
    </row>
    <row r="16" spans="1:4" x14ac:dyDescent="0.3">
      <c r="A16" t="s">
        <v>82</v>
      </c>
      <c r="C16" s="8">
        <v>44243</v>
      </c>
      <c r="D16">
        <v>19000</v>
      </c>
    </row>
    <row r="17" spans="1:4" x14ac:dyDescent="0.3">
      <c r="A17" t="s">
        <v>83</v>
      </c>
      <c r="C17" s="8">
        <v>43973</v>
      </c>
      <c r="D17">
        <v>11000</v>
      </c>
    </row>
    <row r="18" spans="1:4" x14ac:dyDescent="0.3">
      <c r="A18" t="s">
        <v>84</v>
      </c>
      <c r="C18" s="8">
        <v>43471</v>
      </c>
      <c r="D18">
        <v>23000</v>
      </c>
    </row>
    <row r="19" spans="1:4" x14ac:dyDescent="0.3">
      <c r="A19" t="s">
        <v>85</v>
      </c>
      <c r="C19" s="8">
        <v>44907</v>
      </c>
      <c r="D19">
        <v>21000</v>
      </c>
    </row>
    <row r="20" spans="1:4" x14ac:dyDescent="0.3">
      <c r="A20" t="s">
        <v>86</v>
      </c>
      <c r="C20" s="8">
        <v>44927</v>
      </c>
      <c r="D20">
        <v>29000</v>
      </c>
    </row>
    <row r="21" spans="1:4" x14ac:dyDescent="0.3">
      <c r="A21" t="s">
        <v>87</v>
      </c>
      <c r="C21" s="8">
        <v>44397</v>
      </c>
      <c r="D21">
        <v>15000</v>
      </c>
    </row>
    <row r="22" spans="1:4" x14ac:dyDescent="0.3">
      <c r="A22" t="s">
        <v>88</v>
      </c>
      <c r="C22" s="8">
        <v>43911</v>
      </c>
      <c r="D22">
        <v>14000</v>
      </c>
    </row>
    <row r="23" spans="1:4" x14ac:dyDescent="0.3">
      <c r="A23" t="s">
        <v>89</v>
      </c>
      <c r="D23">
        <f>SUM(D3:D22)</f>
        <v>395000</v>
      </c>
    </row>
    <row r="24" spans="1:4" x14ac:dyDescent="0.3">
      <c r="A24" t="s">
        <v>90</v>
      </c>
      <c r="D24">
        <f>AVERAGE(D3:D22)</f>
        <v>19750</v>
      </c>
    </row>
    <row r="25" spans="1:4" x14ac:dyDescent="0.3">
      <c r="A25" t="s">
        <v>91</v>
      </c>
      <c r="D25">
        <f>MIN(D3:D22)</f>
        <v>8000</v>
      </c>
    </row>
    <row r="26" spans="1:4" x14ac:dyDescent="0.3">
      <c r="A26" t="s">
        <v>109</v>
      </c>
      <c r="D26">
        <f>MAX(D3:D22)</f>
        <v>32000</v>
      </c>
    </row>
  </sheetData>
  <mergeCells count="1">
    <mergeCell ref="A1:B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18C0-4C28-4E15-BE97-02943DF339DC}">
  <dimension ref="A1:E26"/>
  <sheetViews>
    <sheetView workbookViewId="0">
      <selection activeCell="H10" sqref="H10"/>
    </sheetView>
  </sheetViews>
  <sheetFormatPr defaultRowHeight="14.4" x14ac:dyDescent="0.3"/>
  <sheetData>
    <row r="1" spans="1:5" ht="18" x14ac:dyDescent="0.35">
      <c r="A1" s="15" t="s">
        <v>166</v>
      </c>
      <c r="B1" s="16"/>
      <c r="C1" s="16"/>
      <c r="D1" s="16"/>
      <c r="E1" s="16"/>
    </row>
    <row r="2" spans="1:5" x14ac:dyDescent="0.3">
      <c r="A2" t="s">
        <v>92</v>
      </c>
      <c r="C2" t="s">
        <v>4</v>
      </c>
      <c r="E2" t="s">
        <v>5</v>
      </c>
    </row>
    <row r="3" spans="1:5" x14ac:dyDescent="0.3">
      <c r="A3" t="s">
        <v>93</v>
      </c>
      <c r="C3" t="s">
        <v>10</v>
      </c>
      <c r="E3">
        <v>28000</v>
      </c>
    </row>
    <row r="4" spans="1:5" x14ac:dyDescent="0.3">
      <c r="A4" t="s">
        <v>94</v>
      </c>
      <c r="C4" t="s">
        <v>11</v>
      </c>
      <c r="E4">
        <v>45000</v>
      </c>
    </row>
    <row r="5" spans="1:5" x14ac:dyDescent="0.3">
      <c r="A5" t="s">
        <v>41</v>
      </c>
      <c r="C5" t="s">
        <v>11</v>
      </c>
      <c r="E5">
        <v>50000</v>
      </c>
    </row>
    <row r="6" spans="1:5" x14ac:dyDescent="0.3">
      <c r="A6" t="s">
        <v>95</v>
      </c>
      <c r="C6" t="s">
        <v>12</v>
      </c>
      <c r="E6">
        <v>42000</v>
      </c>
    </row>
    <row r="7" spans="1:5" x14ac:dyDescent="0.3">
      <c r="A7" t="s">
        <v>96</v>
      </c>
      <c r="C7" t="s">
        <v>10</v>
      </c>
      <c r="E7">
        <v>30000</v>
      </c>
    </row>
    <row r="8" spans="1:5" x14ac:dyDescent="0.3">
      <c r="A8" t="s">
        <v>97</v>
      </c>
      <c r="C8" t="s">
        <v>12</v>
      </c>
      <c r="E8">
        <v>38000</v>
      </c>
    </row>
    <row r="9" spans="1:5" x14ac:dyDescent="0.3">
      <c r="A9" t="s">
        <v>98</v>
      </c>
      <c r="C9" t="s">
        <v>10</v>
      </c>
      <c r="E9">
        <v>33000</v>
      </c>
    </row>
    <row r="10" spans="1:5" x14ac:dyDescent="0.3">
      <c r="A10" t="s">
        <v>99</v>
      </c>
      <c r="C10" t="s">
        <v>11</v>
      </c>
      <c r="E10">
        <v>45000</v>
      </c>
    </row>
    <row r="11" spans="1:5" x14ac:dyDescent="0.3">
      <c r="A11" t="s">
        <v>100</v>
      </c>
      <c r="C11" t="s">
        <v>11</v>
      </c>
      <c r="E11">
        <v>40000</v>
      </c>
    </row>
    <row r="12" spans="1:5" x14ac:dyDescent="0.3">
      <c r="A12" t="s">
        <v>101</v>
      </c>
      <c r="C12" t="s">
        <v>12</v>
      </c>
      <c r="E12">
        <v>50000</v>
      </c>
    </row>
    <row r="13" spans="1:5" x14ac:dyDescent="0.3">
      <c r="A13" t="s">
        <v>102</v>
      </c>
      <c r="C13" t="s">
        <v>10</v>
      </c>
      <c r="E13">
        <v>37000</v>
      </c>
    </row>
    <row r="14" spans="1:5" x14ac:dyDescent="0.3">
      <c r="A14" t="s">
        <v>103</v>
      </c>
      <c r="C14" t="s">
        <v>12</v>
      </c>
      <c r="E14">
        <v>52000</v>
      </c>
    </row>
    <row r="15" spans="1:5" x14ac:dyDescent="0.3">
      <c r="A15" t="s">
        <v>104</v>
      </c>
      <c r="C15" t="s">
        <v>10</v>
      </c>
      <c r="E15">
        <v>62000</v>
      </c>
    </row>
    <row r="16" spans="1:5" x14ac:dyDescent="0.3">
      <c r="A16" t="s">
        <v>105</v>
      </c>
      <c r="C16" t="s">
        <v>11</v>
      </c>
      <c r="E16">
        <v>40000</v>
      </c>
    </row>
    <row r="17" spans="1:5" x14ac:dyDescent="0.3">
      <c r="A17" t="s">
        <v>106</v>
      </c>
      <c r="C17" t="s">
        <v>11</v>
      </c>
      <c r="E17">
        <v>30000</v>
      </c>
    </row>
    <row r="18" spans="1:5" x14ac:dyDescent="0.3">
      <c r="A18" t="s">
        <v>7</v>
      </c>
      <c r="C18" t="s">
        <v>12</v>
      </c>
      <c r="E18">
        <v>55000</v>
      </c>
    </row>
    <row r="19" spans="1:5" x14ac:dyDescent="0.3">
      <c r="A19" t="s">
        <v>107</v>
      </c>
      <c r="C19" t="s">
        <v>10</v>
      </c>
      <c r="E19">
        <v>60000</v>
      </c>
    </row>
    <row r="20" spans="1:5" x14ac:dyDescent="0.3">
      <c r="A20" t="s">
        <v>108</v>
      </c>
      <c r="C20" t="s">
        <v>12</v>
      </c>
      <c r="E20">
        <v>62000</v>
      </c>
    </row>
    <row r="21" spans="1:5" x14ac:dyDescent="0.3">
      <c r="A21" t="s">
        <v>64</v>
      </c>
      <c r="C21" t="s">
        <v>10</v>
      </c>
      <c r="E21">
        <v>45000</v>
      </c>
    </row>
    <row r="22" spans="1:5" x14ac:dyDescent="0.3">
      <c r="A22" t="s">
        <v>110</v>
      </c>
      <c r="E22">
        <f>SUM(E3,E7,E9,E13,E15,E19,E21)</f>
        <v>295000</v>
      </c>
    </row>
    <row r="23" spans="1:5" x14ac:dyDescent="0.3">
      <c r="A23" t="s">
        <v>111</v>
      </c>
      <c r="E23">
        <f>SUM(E4,E5,E10,E11,E16,E17)</f>
        <v>250000</v>
      </c>
    </row>
    <row r="24" spans="1:5" x14ac:dyDescent="0.3">
      <c r="A24" t="s">
        <v>112</v>
      </c>
      <c r="E24">
        <f>AVERAGE(E3:E21)</f>
        <v>44421.052631578947</v>
      </c>
    </row>
    <row r="25" spans="1:5" x14ac:dyDescent="0.3">
      <c r="A25" t="s">
        <v>113</v>
      </c>
      <c r="E25">
        <f>COUNTA(A3:A21)</f>
        <v>19</v>
      </c>
    </row>
    <row r="26" spans="1:5" x14ac:dyDescent="0.3">
      <c r="A26" t="s">
        <v>114</v>
      </c>
      <c r="E26">
        <f>SUM(E6,E8,E12,E14,E18,E20)</f>
        <v>299000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8CB67-EC38-467E-8F95-5ADE49B63138}">
  <dimension ref="A1:J23"/>
  <sheetViews>
    <sheetView workbookViewId="0">
      <selection activeCell="A23" sqref="A23:A24"/>
    </sheetView>
  </sheetViews>
  <sheetFormatPr defaultRowHeight="14.4" x14ac:dyDescent="0.3"/>
  <sheetData>
    <row r="1" spans="1:10" ht="15.6" x14ac:dyDescent="0.3">
      <c r="A1" s="14" t="s">
        <v>165</v>
      </c>
      <c r="B1" s="14"/>
      <c r="C1" s="14"/>
      <c r="D1" s="14"/>
      <c r="E1" s="14"/>
      <c r="F1" s="14"/>
      <c r="G1" s="14"/>
    </row>
    <row r="2" spans="1:10" x14ac:dyDescent="0.3">
      <c r="A2" t="s">
        <v>45</v>
      </c>
      <c r="C2" t="s">
        <v>115</v>
      </c>
      <c r="D2" t="s">
        <v>116</v>
      </c>
      <c r="E2" t="s">
        <v>117</v>
      </c>
      <c r="F2" t="s">
        <v>118</v>
      </c>
      <c r="G2" t="s">
        <v>122</v>
      </c>
      <c r="H2" t="s">
        <v>141</v>
      </c>
      <c r="J2" t="s">
        <v>142</v>
      </c>
    </row>
    <row r="3" spans="1:10" x14ac:dyDescent="0.3">
      <c r="A3" t="s">
        <v>103</v>
      </c>
      <c r="C3" t="s">
        <v>120</v>
      </c>
      <c r="D3" t="s">
        <v>121</v>
      </c>
      <c r="E3" t="s">
        <v>120</v>
      </c>
      <c r="F3" t="s">
        <v>120</v>
      </c>
      <c r="G3" t="s">
        <v>120</v>
      </c>
      <c r="H3">
        <f>COUNTIF(C3:G3, "P")</f>
        <v>4</v>
      </c>
      <c r="J3">
        <f>COUNTIF(C3:G3, "A")</f>
        <v>1</v>
      </c>
    </row>
    <row r="4" spans="1:10" x14ac:dyDescent="0.3">
      <c r="A4" t="s">
        <v>119</v>
      </c>
      <c r="C4" t="s">
        <v>120</v>
      </c>
      <c r="D4" t="s">
        <v>120</v>
      </c>
      <c r="E4" t="s">
        <v>120</v>
      </c>
      <c r="F4" t="s">
        <v>123</v>
      </c>
      <c r="G4" t="s">
        <v>120</v>
      </c>
      <c r="H4">
        <f t="shared" ref="H4:H21" si="0">COUNTIF(C4:G4, "P")</f>
        <v>4</v>
      </c>
      <c r="J4">
        <f t="shared" ref="J4:J21" si="1">COUNTIF(C4:G4, "A")</f>
        <v>0</v>
      </c>
    </row>
    <row r="5" spans="1:10" x14ac:dyDescent="0.3">
      <c r="A5" t="s">
        <v>51</v>
      </c>
      <c r="C5" t="s">
        <v>121</v>
      </c>
      <c r="D5" t="s">
        <v>120</v>
      </c>
      <c r="E5" t="s">
        <v>120</v>
      </c>
      <c r="F5" t="s">
        <v>124</v>
      </c>
      <c r="G5" t="s">
        <v>120</v>
      </c>
      <c r="H5">
        <f t="shared" si="0"/>
        <v>4</v>
      </c>
      <c r="J5">
        <f t="shared" si="1"/>
        <v>1</v>
      </c>
    </row>
    <row r="6" spans="1:10" x14ac:dyDescent="0.3">
      <c r="A6" t="s">
        <v>53</v>
      </c>
      <c r="C6" t="s">
        <v>120</v>
      </c>
      <c r="D6" t="s">
        <v>125</v>
      </c>
      <c r="E6" t="s">
        <v>121</v>
      </c>
      <c r="F6" t="s">
        <v>120</v>
      </c>
      <c r="G6" t="s">
        <v>121</v>
      </c>
      <c r="H6">
        <f t="shared" si="0"/>
        <v>2</v>
      </c>
      <c r="J6">
        <f t="shared" si="1"/>
        <v>2</v>
      </c>
    </row>
    <row r="7" spans="1:10" x14ac:dyDescent="0.3">
      <c r="A7" t="s">
        <v>126</v>
      </c>
      <c r="C7" t="s">
        <v>120</v>
      </c>
      <c r="D7" t="s">
        <v>120</v>
      </c>
      <c r="E7" t="s">
        <v>121</v>
      </c>
      <c r="F7" t="s">
        <v>123</v>
      </c>
      <c r="G7" t="s">
        <v>121</v>
      </c>
      <c r="H7">
        <f t="shared" si="0"/>
        <v>2</v>
      </c>
      <c r="J7">
        <f t="shared" si="1"/>
        <v>2</v>
      </c>
    </row>
    <row r="8" spans="1:10" x14ac:dyDescent="0.3">
      <c r="A8" t="s">
        <v>127</v>
      </c>
      <c r="C8" t="s">
        <v>120</v>
      </c>
      <c r="D8" t="s">
        <v>120</v>
      </c>
      <c r="E8" t="s">
        <v>120</v>
      </c>
      <c r="F8" t="s">
        <v>120</v>
      </c>
      <c r="G8" t="s">
        <v>121</v>
      </c>
      <c r="H8">
        <f t="shared" si="0"/>
        <v>4</v>
      </c>
      <c r="J8">
        <f t="shared" si="1"/>
        <v>1</v>
      </c>
    </row>
    <row r="9" spans="1:10" x14ac:dyDescent="0.3">
      <c r="A9" t="s">
        <v>93</v>
      </c>
      <c r="C9" t="s">
        <v>121</v>
      </c>
      <c r="D9" t="s">
        <v>121</v>
      </c>
      <c r="E9" t="s">
        <v>121</v>
      </c>
      <c r="F9" t="s">
        <v>124</v>
      </c>
      <c r="G9" t="s">
        <v>121</v>
      </c>
      <c r="H9">
        <f t="shared" si="0"/>
        <v>1</v>
      </c>
      <c r="J9">
        <f t="shared" si="1"/>
        <v>4</v>
      </c>
    </row>
    <row r="10" spans="1:10" x14ac:dyDescent="0.3">
      <c r="A10" t="s">
        <v>128</v>
      </c>
      <c r="C10" t="s">
        <v>120</v>
      </c>
      <c r="D10" t="s">
        <v>121</v>
      </c>
      <c r="E10" t="s">
        <v>120</v>
      </c>
      <c r="F10" t="s">
        <v>123</v>
      </c>
      <c r="G10" t="s">
        <v>120</v>
      </c>
      <c r="H10">
        <f t="shared" si="0"/>
        <v>3</v>
      </c>
      <c r="J10">
        <f t="shared" si="1"/>
        <v>1</v>
      </c>
    </row>
    <row r="11" spans="1:10" x14ac:dyDescent="0.3">
      <c r="A11" t="s">
        <v>129</v>
      </c>
      <c r="C11" t="s">
        <v>120</v>
      </c>
      <c r="D11" t="s">
        <v>120</v>
      </c>
      <c r="E11" t="s">
        <v>121</v>
      </c>
      <c r="F11" t="s">
        <v>123</v>
      </c>
      <c r="G11" t="s">
        <v>121</v>
      </c>
      <c r="H11">
        <f t="shared" si="0"/>
        <v>2</v>
      </c>
      <c r="J11">
        <f t="shared" si="1"/>
        <v>2</v>
      </c>
    </row>
    <row r="12" spans="1:10" x14ac:dyDescent="0.3">
      <c r="A12" t="s">
        <v>130</v>
      </c>
      <c r="C12" t="s">
        <v>120</v>
      </c>
      <c r="D12" t="s">
        <v>120</v>
      </c>
      <c r="E12" t="s">
        <v>120</v>
      </c>
      <c r="F12" t="s">
        <v>120</v>
      </c>
      <c r="G12" t="s">
        <v>120</v>
      </c>
      <c r="H12">
        <f t="shared" si="0"/>
        <v>5</v>
      </c>
      <c r="J12">
        <f t="shared" si="1"/>
        <v>0</v>
      </c>
    </row>
    <row r="13" spans="1:10" x14ac:dyDescent="0.3">
      <c r="A13" t="s">
        <v>131</v>
      </c>
      <c r="C13" t="s">
        <v>121</v>
      </c>
      <c r="D13" t="s">
        <v>121</v>
      </c>
      <c r="E13" t="s">
        <v>121</v>
      </c>
      <c r="F13" t="s">
        <v>123</v>
      </c>
      <c r="G13" t="s">
        <v>121</v>
      </c>
      <c r="H13">
        <f t="shared" si="0"/>
        <v>0</v>
      </c>
      <c r="J13">
        <f t="shared" si="1"/>
        <v>4</v>
      </c>
    </row>
    <row r="14" spans="1:10" x14ac:dyDescent="0.3">
      <c r="A14" t="s">
        <v>132</v>
      </c>
      <c r="C14" t="s">
        <v>120</v>
      </c>
      <c r="D14" t="s">
        <v>120</v>
      </c>
      <c r="E14" t="s">
        <v>120</v>
      </c>
      <c r="F14" t="s">
        <v>120</v>
      </c>
      <c r="G14" t="s">
        <v>121</v>
      </c>
      <c r="H14">
        <f t="shared" si="0"/>
        <v>4</v>
      </c>
      <c r="J14">
        <f t="shared" si="1"/>
        <v>1</v>
      </c>
    </row>
    <row r="15" spans="1:10" x14ac:dyDescent="0.3">
      <c r="A15" t="s">
        <v>133</v>
      </c>
      <c r="C15" t="s">
        <v>120</v>
      </c>
      <c r="D15" t="s">
        <v>120</v>
      </c>
      <c r="E15" t="s">
        <v>120</v>
      </c>
      <c r="F15" t="s">
        <v>120</v>
      </c>
      <c r="G15" t="s">
        <v>120</v>
      </c>
      <c r="H15">
        <f t="shared" si="0"/>
        <v>5</v>
      </c>
      <c r="J15">
        <f t="shared" si="1"/>
        <v>0</v>
      </c>
    </row>
    <row r="16" spans="1:10" x14ac:dyDescent="0.3">
      <c r="A16" t="s">
        <v>134</v>
      </c>
      <c r="C16" t="s">
        <v>121</v>
      </c>
      <c r="D16" t="s">
        <v>120</v>
      </c>
      <c r="E16" t="s">
        <v>121</v>
      </c>
      <c r="F16" t="s">
        <v>120</v>
      </c>
      <c r="G16" t="s">
        <v>121</v>
      </c>
      <c r="H16">
        <f t="shared" si="0"/>
        <v>2</v>
      </c>
      <c r="J16">
        <f t="shared" si="1"/>
        <v>3</v>
      </c>
    </row>
    <row r="17" spans="1:10" x14ac:dyDescent="0.3">
      <c r="A17" t="s">
        <v>135</v>
      </c>
      <c r="C17" t="s">
        <v>120</v>
      </c>
      <c r="D17" t="s">
        <v>120</v>
      </c>
      <c r="E17" t="s">
        <v>121</v>
      </c>
      <c r="F17" t="s">
        <v>123</v>
      </c>
      <c r="G17" t="s">
        <v>120</v>
      </c>
      <c r="H17">
        <f t="shared" si="0"/>
        <v>3</v>
      </c>
      <c r="J17">
        <f t="shared" si="1"/>
        <v>1</v>
      </c>
    </row>
    <row r="18" spans="1:10" x14ac:dyDescent="0.3">
      <c r="A18" t="s">
        <v>136</v>
      </c>
      <c r="C18" t="s">
        <v>120</v>
      </c>
      <c r="D18" t="s">
        <v>120</v>
      </c>
      <c r="E18" t="s">
        <v>120</v>
      </c>
      <c r="F18" t="s">
        <v>123</v>
      </c>
      <c r="G18" t="s">
        <v>121</v>
      </c>
      <c r="H18">
        <f t="shared" si="0"/>
        <v>3</v>
      </c>
      <c r="J18">
        <f t="shared" si="1"/>
        <v>1</v>
      </c>
    </row>
    <row r="19" spans="1:10" x14ac:dyDescent="0.3">
      <c r="A19" t="s">
        <v>137</v>
      </c>
      <c r="C19" t="s">
        <v>120</v>
      </c>
      <c r="D19" t="s">
        <v>121</v>
      </c>
      <c r="E19" t="s">
        <v>140</v>
      </c>
      <c r="F19" t="s">
        <v>123</v>
      </c>
      <c r="G19" t="s">
        <v>121</v>
      </c>
      <c r="H19">
        <f t="shared" si="0"/>
        <v>1</v>
      </c>
      <c r="J19">
        <f t="shared" si="1"/>
        <v>2</v>
      </c>
    </row>
    <row r="20" spans="1:10" x14ac:dyDescent="0.3">
      <c r="A20" t="s">
        <v>138</v>
      </c>
      <c r="C20" t="s">
        <v>120</v>
      </c>
      <c r="D20" t="s">
        <v>120</v>
      </c>
      <c r="E20" t="s">
        <v>121</v>
      </c>
      <c r="F20" t="s">
        <v>123</v>
      </c>
      <c r="G20" t="s">
        <v>121</v>
      </c>
      <c r="H20">
        <f t="shared" si="0"/>
        <v>2</v>
      </c>
      <c r="J20">
        <f t="shared" si="1"/>
        <v>2</v>
      </c>
    </row>
    <row r="21" spans="1:10" x14ac:dyDescent="0.3">
      <c r="A21" t="s">
        <v>139</v>
      </c>
      <c r="C21" t="s">
        <v>120</v>
      </c>
      <c r="D21" t="s">
        <v>120</v>
      </c>
      <c r="E21" t="s">
        <v>120</v>
      </c>
      <c r="F21" t="s">
        <v>120</v>
      </c>
      <c r="G21" t="s">
        <v>120</v>
      </c>
      <c r="H21">
        <f t="shared" si="0"/>
        <v>5</v>
      </c>
      <c r="J21">
        <f t="shared" si="1"/>
        <v>0</v>
      </c>
    </row>
    <row r="22" spans="1:10" x14ac:dyDescent="0.3">
      <c r="A22" s="6"/>
    </row>
    <row r="23" spans="1:10" x14ac:dyDescent="0.3">
      <c r="A23" s="6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7DE8-3063-4E2D-B8A0-3ABD7E3AA3E7}">
  <dimension ref="A1:B24"/>
  <sheetViews>
    <sheetView workbookViewId="0">
      <selection activeCell="G7" sqref="G7"/>
    </sheetView>
  </sheetViews>
  <sheetFormatPr defaultRowHeight="14.4" x14ac:dyDescent="0.3"/>
  <sheetData>
    <row r="1" spans="1:2" ht="15.6" x14ac:dyDescent="0.3">
      <c r="A1" s="14" t="s">
        <v>143</v>
      </c>
      <c r="B1" s="17"/>
    </row>
    <row r="2" spans="1:2" x14ac:dyDescent="0.3">
      <c r="A2" t="s">
        <v>144</v>
      </c>
      <c r="B2" t="s">
        <v>16</v>
      </c>
    </row>
    <row r="3" spans="1:2" x14ac:dyDescent="0.3">
      <c r="A3" t="s">
        <v>145</v>
      </c>
      <c r="B3">
        <v>4500</v>
      </c>
    </row>
    <row r="4" spans="1:2" x14ac:dyDescent="0.3">
      <c r="A4" t="s">
        <v>146</v>
      </c>
      <c r="B4">
        <v>12000</v>
      </c>
    </row>
    <row r="5" spans="1:2" x14ac:dyDescent="0.3">
      <c r="A5" t="s">
        <v>147</v>
      </c>
      <c r="B5">
        <v>8000</v>
      </c>
    </row>
    <row r="6" spans="1:2" x14ac:dyDescent="0.3">
      <c r="A6" t="s">
        <v>148</v>
      </c>
      <c r="B6">
        <v>25000</v>
      </c>
    </row>
    <row r="7" spans="1:2" x14ac:dyDescent="0.3">
      <c r="A7" t="s">
        <v>149</v>
      </c>
      <c r="B7">
        <v>3000</v>
      </c>
    </row>
    <row r="8" spans="1:2" x14ac:dyDescent="0.3">
      <c r="A8" t="s">
        <v>150</v>
      </c>
      <c r="B8">
        <v>15000</v>
      </c>
    </row>
    <row r="9" spans="1:2" x14ac:dyDescent="0.3">
      <c r="A9" t="s">
        <v>151</v>
      </c>
      <c r="B9">
        <v>12000</v>
      </c>
    </row>
    <row r="10" spans="1:2" x14ac:dyDescent="0.3">
      <c r="A10" t="s">
        <v>152</v>
      </c>
      <c r="B10">
        <v>17000</v>
      </c>
    </row>
    <row r="11" spans="1:2" x14ac:dyDescent="0.3">
      <c r="A11" t="s">
        <v>153</v>
      </c>
      <c r="B11">
        <v>22000</v>
      </c>
    </row>
    <row r="12" spans="1:2" x14ac:dyDescent="0.3">
      <c r="A12" t="s">
        <v>154</v>
      </c>
      <c r="B12">
        <v>13000</v>
      </c>
    </row>
    <row r="13" spans="1:2" x14ac:dyDescent="0.3">
      <c r="A13" t="s">
        <v>155</v>
      </c>
      <c r="B13">
        <v>20000</v>
      </c>
    </row>
    <row r="14" spans="1:2" x14ac:dyDescent="0.3">
      <c r="A14" t="s">
        <v>156</v>
      </c>
      <c r="B14">
        <v>21000</v>
      </c>
    </row>
    <row r="15" spans="1:2" x14ac:dyDescent="0.3">
      <c r="A15" t="s">
        <v>157</v>
      </c>
      <c r="B15">
        <v>11000</v>
      </c>
    </row>
    <row r="16" spans="1:2" x14ac:dyDescent="0.3">
      <c r="A16" t="s">
        <v>158</v>
      </c>
      <c r="B16">
        <v>24000</v>
      </c>
    </row>
    <row r="17" spans="1:2" x14ac:dyDescent="0.3">
      <c r="A17" t="s">
        <v>159</v>
      </c>
      <c r="B17">
        <v>25000</v>
      </c>
    </row>
    <row r="18" spans="1:2" x14ac:dyDescent="0.3">
      <c r="A18" t="s">
        <v>160</v>
      </c>
      <c r="B18">
        <v>15000</v>
      </c>
    </row>
    <row r="19" spans="1:2" x14ac:dyDescent="0.3">
      <c r="A19" t="s">
        <v>161</v>
      </c>
      <c r="B19">
        <v>11000</v>
      </c>
    </row>
    <row r="20" spans="1:2" x14ac:dyDescent="0.3">
      <c r="A20" t="s">
        <v>162</v>
      </c>
      <c r="B20">
        <v>20000</v>
      </c>
    </row>
    <row r="21" spans="1:2" x14ac:dyDescent="0.3">
      <c r="A21" t="s">
        <v>163</v>
      </c>
      <c r="B21">
        <v>21000</v>
      </c>
    </row>
    <row r="22" spans="1:2" x14ac:dyDescent="0.3">
      <c r="A22" t="s">
        <v>164</v>
      </c>
      <c r="B22">
        <v>22000</v>
      </c>
    </row>
    <row r="23" spans="1:2" ht="43.2" x14ac:dyDescent="0.3">
      <c r="A23" s="6" t="s">
        <v>167</v>
      </c>
      <c r="B23" s="6">
        <f>COUNTIF(B3:B22,"&gt;10000")</f>
        <v>17</v>
      </c>
    </row>
    <row r="24" spans="1:2" ht="43.2" x14ac:dyDescent="0.3">
      <c r="A24" s="6" t="s">
        <v>168</v>
      </c>
      <c r="B24" s="6">
        <f>COUNTIF(B3:B22,"&lt;5000")</f>
        <v>2</v>
      </c>
    </row>
  </sheetData>
  <mergeCells count="1">
    <mergeCell ref="A1:B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5929-5B37-4138-A917-1AFCFC41860D}">
  <dimension ref="A1:C20"/>
  <sheetViews>
    <sheetView workbookViewId="0">
      <selection activeCell="J12" sqref="J12"/>
    </sheetView>
  </sheetViews>
  <sheetFormatPr defaultRowHeight="14.4" x14ac:dyDescent="0.3"/>
  <sheetData>
    <row r="1" spans="1:3" ht="15.6" x14ac:dyDescent="0.3">
      <c r="A1" s="14" t="s">
        <v>169</v>
      </c>
      <c r="B1" s="14"/>
      <c r="C1" s="14"/>
    </row>
    <row r="2" spans="1:3" x14ac:dyDescent="0.3">
      <c r="A2" t="s">
        <v>170</v>
      </c>
      <c r="B2" t="s">
        <v>16</v>
      </c>
    </row>
    <row r="3" spans="1:3" x14ac:dyDescent="0.3">
      <c r="A3" t="s">
        <v>171</v>
      </c>
      <c r="B3">
        <v>22000</v>
      </c>
    </row>
    <row r="4" spans="1:3" ht="28.8" x14ac:dyDescent="0.3">
      <c r="A4" s="6" t="s">
        <v>172</v>
      </c>
      <c r="B4">
        <v>3500</v>
      </c>
    </row>
    <row r="5" spans="1:3" x14ac:dyDescent="0.3">
      <c r="A5" t="s">
        <v>18</v>
      </c>
      <c r="B5">
        <v>58000</v>
      </c>
    </row>
    <row r="6" spans="1:3" x14ac:dyDescent="0.3">
      <c r="A6" t="s">
        <v>173</v>
      </c>
      <c r="B6">
        <v>1800</v>
      </c>
    </row>
    <row r="7" spans="1:3" x14ac:dyDescent="0.3">
      <c r="A7" t="s">
        <v>174</v>
      </c>
      <c r="B7">
        <v>12000</v>
      </c>
    </row>
    <row r="8" spans="1:3" x14ac:dyDescent="0.3">
      <c r="A8" t="s">
        <v>19</v>
      </c>
      <c r="B8">
        <v>3600</v>
      </c>
    </row>
    <row r="9" spans="1:3" x14ac:dyDescent="0.3">
      <c r="A9" t="s">
        <v>175</v>
      </c>
      <c r="B9">
        <v>5000</v>
      </c>
    </row>
    <row r="10" spans="1:3" x14ac:dyDescent="0.3">
      <c r="A10" t="s">
        <v>21</v>
      </c>
      <c r="B10">
        <v>5000</v>
      </c>
    </row>
    <row r="11" spans="1:3" x14ac:dyDescent="0.3">
      <c r="A11" t="s">
        <v>22</v>
      </c>
      <c r="B11">
        <v>10000</v>
      </c>
    </row>
    <row r="12" spans="1:3" ht="28.8" x14ac:dyDescent="0.3">
      <c r="A12" s="6" t="s">
        <v>23</v>
      </c>
      <c r="B12">
        <v>500</v>
      </c>
    </row>
    <row r="13" spans="1:3" x14ac:dyDescent="0.3">
      <c r="A13" t="s">
        <v>26</v>
      </c>
      <c r="B13">
        <v>200</v>
      </c>
    </row>
    <row r="14" spans="1:3" x14ac:dyDescent="0.3">
      <c r="A14" t="s">
        <v>28</v>
      </c>
      <c r="B14">
        <v>550</v>
      </c>
    </row>
    <row r="15" spans="1:3" x14ac:dyDescent="0.3">
      <c r="A15" t="s">
        <v>176</v>
      </c>
      <c r="B15">
        <v>1000</v>
      </c>
    </row>
    <row r="16" spans="1:3" x14ac:dyDescent="0.3">
      <c r="A16" t="s">
        <v>177</v>
      </c>
      <c r="B16">
        <v>15000</v>
      </c>
    </row>
    <row r="17" spans="1:2" x14ac:dyDescent="0.3">
      <c r="A17" t="s">
        <v>178</v>
      </c>
      <c r="B17">
        <v>200</v>
      </c>
    </row>
    <row r="18" spans="1:2" x14ac:dyDescent="0.3">
      <c r="A18" t="s">
        <v>179</v>
      </c>
      <c r="B18">
        <v>20000</v>
      </c>
    </row>
    <row r="19" spans="1:2" x14ac:dyDescent="0.3">
      <c r="A19" t="s">
        <v>180</v>
      </c>
      <c r="B19">
        <v>2000</v>
      </c>
    </row>
    <row r="20" spans="1:2" ht="28.8" x14ac:dyDescent="0.3">
      <c r="A20" s="6" t="s">
        <v>181</v>
      </c>
      <c r="B20" s="6">
        <v>200</v>
      </c>
    </row>
  </sheetData>
  <mergeCells count="1">
    <mergeCell ref="A1:C1"/>
  </mergeCells>
  <conditionalFormatting sqref="B3:B20">
    <cfRule type="cellIs" dxfId="10" priority="1" operator="lessThan">
      <formula>5000</formula>
    </cfRule>
    <cfRule type="cellIs" dxfId="9" priority="2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4A6D-858B-4173-8C92-C9528B1BBA1D}">
  <dimension ref="A1:C22"/>
  <sheetViews>
    <sheetView workbookViewId="0">
      <selection activeCell="M18" sqref="M18"/>
    </sheetView>
  </sheetViews>
  <sheetFormatPr defaultRowHeight="14.4" x14ac:dyDescent="0.3"/>
  <sheetData>
    <row r="1" spans="1:3" ht="15.6" x14ac:dyDescent="0.3">
      <c r="A1" s="14" t="s">
        <v>182</v>
      </c>
      <c r="B1" s="14"/>
      <c r="C1" s="14"/>
    </row>
    <row r="2" spans="1:3" x14ac:dyDescent="0.3">
      <c r="A2" t="s">
        <v>44</v>
      </c>
      <c r="B2" t="s">
        <v>183</v>
      </c>
      <c r="C2" t="s">
        <v>184</v>
      </c>
    </row>
    <row r="3" spans="1:3" x14ac:dyDescent="0.3">
      <c r="A3">
        <v>1</v>
      </c>
      <c r="B3" t="s">
        <v>185</v>
      </c>
      <c r="C3">
        <v>85</v>
      </c>
    </row>
    <row r="4" spans="1:3" x14ac:dyDescent="0.3">
      <c r="A4">
        <v>2</v>
      </c>
      <c r="B4" t="s">
        <v>186</v>
      </c>
      <c r="C4">
        <v>72</v>
      </c>
    </row>
    <row r="5" spans="1:3" x14ac:dyDescent="0.3">
      <c r="A5">
        <v>3</v>
      </c>
      <c r="B5" t="s">
        <v>187</v>
      </c>
      <c r="C5">
        <v>39</v>
      </c>
    </row>
    <row r="6" spans="1:3" x14ac:dyDescent="0.3">
      <c r="A6">
        <v>4</v>
      </c>
      <c r="B6" t="s">
        <v>188</v>
      </c>
      <c r="C6">
        <v>91</v>
      </c>
    </row>
    <row r="7" spans="1:3" x14ac:dyDescent="0.3">
      <c r="A7">
        <v>5</v>
      </c>
      <c r="B7" t="s">
        <v>66</v>
      </c>
      <c r="C7">
        <v>28</v>
      </c>
    </row>
    <row r="8" spans="1:3" x14ac:dyDescent="0.3">
      <c r="A8">
        <v>6</v>
      </c>
      <c r="B8" t="s">
        <v>189</v>
      </c>
      <c r="C8">
        <v>50</v>
      </c>
    </row>
    <row r="9" spans="1:3" x14ac:dyDescent="0.3">
      <c r="A9">
        <v>7</v>
      </c>
      <c r="B9" t="s">
        <v>41</v>
      </c>
      <c r="C9">
        <v>66</v>
      </c>
    </row>
    <row r="10" spans="1:3" x14ac:dyDescent="0.3">
      <c r="A10">
        <v>8</v>
      </c>
      <c r="B10" t="s">
        <v>190</v>
      </c>
      <c r="C10">
        <v>70</v>
      </c>
    </row>
    <row r="11" spans="1:3" x14ac:dyDescent="0.3">
      <c r="A11">
        <v>9</v>
      </c>
      <c r="B11" t="s">
        <v>42</v>
      </c>
      <c r="C11">
        <v>89</v>
      </c>
    </row>
    <row r="12" spans="1:3" x14ac:dyDescent="0.3">
      <c r="A12">
        <v>10</v>
      </c>
      <c r="B12" t="s">
        <v>191</v>
      </c>
      <c r="C12">
        <v>75</v>
      </c>
    </row>
    <row r="13" spans="1:3" x14ac:dyDescent="0.3">
      <c r="A13">
        <v>11</v>
      </c>
      <c r="B13" t="s">
        <v>192</v>
      </c>
      <c r="C13">
        <v>82</v>
      </c>
    </row>
    <row r="14" spans="1:3" x14ac:dyDescent="0.3">
      <c r="A14">
        <v>12</v>
      </c>
      <c r="B14" t="s">
        <v>193</v>
      </c>
      <c r="C14">
        <v>92</v>
      </c>
    </row>
    <row r="15" spans="1:3" x14ac:dyDescent="0.3">
      <c r="A15">
        <v>13</v>
      </c>
      <c r="B15" t="s">
        <v>40</v>
      </c>
      <c r="C15">
        <v>71</v>
      </c>
    </row>
    <row r="16" spans="1:3" x14ac:dyDescent="0.3">
      <c r="A16">
        <v>14</v>
      </c>
      <c r="B16" t="s">
        <v>65</v>
      </c>
      <c r="C16">
        <v>51</v>
      </c>
    </row>
    <row r="17" spans="1:3" x14ac:dyDescent="0.3">
      <c r="A17">
        <v>15</v>
      </c>
      <c r="B17" t="s">
        <v>194</v>
      </c>
      <c r="C17">
        <v>56</v>
      </c>
    </row>
    <row r="18" spans="1:3" x14ac:dyDescent="0.3">
      <c r="A18">
        <v>16</v>
      </c>
      <c r="B18" t="s">
        <v>195</v>
      </c>
      <c r="C18">
        <v>45</v>
      </c>
    </row>
    <row r="19" spans="1:3" x14ac:dyDescent="0.3">
      <c r="A19">
        <v>17</v>
      </c>
      <c r="B19" t="s">
        <v>196</v>
      </c>
      <c r="C19">
        <v>88</v>
      </c>
    </row>
    <row r="20" spans="1:3" x14ac:dyDescent="0.3">
      <c r="A20">
        <v>18</v>
      </c>
      <c r="B20" t="s">
        <v>41</v>
      </c>
      <c r="C20">
        <v>90</v>
      </c>
    </row>
    <row r="21" spans="1:3" x14ac:dyDescent="0.3">
      <c r="A21">
        <v>19</v>
      </c>
      <c r="B21" t="s">
        <v>197</v>
      </c>
      <c r="C21">
        <v>79</v>
      </c>
    </row>
    <row r="22" spans="1:3" x14ac:dyDescent="0.3">
      <c r="A22">
        <v>20</v>
      </c>
      <c r="B22" t="s">
        <v>198</v>
      </c>
      <c r="C22">
        <v>80</v>
      </c>
    </row>
  </sheetData>
  <mergeCells count="1">
    <mergeCell ref="A1:C1"/>
  </mergeCells>
  <conditionalFormatting sqref="C3:C22">
    <cfRule type="cellIs" dxfId="8" priority="1" operator="greaterThanOrEqual">
      <formula>75</formula>
    </cfRule>
    <cfRule type="cellIs" dxfId="7" priority="4" operator="lessThan">
      <formula>40</formula>
    </cfRule>
    <cfRule type="cellIs" dxfId="6" priority="5" operator="greaterThan">
      <formula>75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34C5-3A55-477C-874E-507C090C42F7}">
  <dimension ref="A1:D20"/>
  <sheetViews>
    <sheetView workbookViewId="0">
      <selection activeCell="G11" sqref="G11"/>
    </sheetView>
  </sheetViews>
  <sheetFormatPr defaultRowHeight="14.4" x14ac:dyDescent="0.3"/>
  <sheetData>
    <row r="1" spans="1:4" ht="15.6" x14ac:dyDescent="0.3">
      <c r="A1" s="14" t="s">
        <v>199</v>
      </c>
      <c r="B1" s="14"/>
      <c r="C1" s="14"/>
      <c r="D1" s="14"/>
    </row>
    <row r="2" spans="1:4" x14ac:dyDescent="0.3">
      <c r="A2" t="s">
        <v>92</v>
      </c>
      <c r="C2" t="s">
        <v>5</v>
      </c>
    </row>
    <row r="3" spans="1:4" x14ac:dyDescent="0.3">
      <c r="A3" t="s">
        <v>200</v>
      </c>
      <c r="C3">
        <v>28000</v>
      </c>
    </row>
    <row r="4" spans="1:4" x14ac:dyDescent="0.3">
      <c r="A4" t="s">
        <v>201</v>
      </c>
      <c r="C4">
        <v>34000</v>
      </c>
    </row>
    <row r="5" spans="1:4" x14ac:dyDescent="0.3">
      <c r="A5" t="s">
        <v>202</v>
      </c>
      <c r="C5">
        <v>51000</v>
      </c>
    </row>
    <row r="6" spans="1:4" x14ac:dyDescent="0.3">
      <c r="A6" t="s">
        <v>97</v>
      </c>
      <c r="C6">
        <v>47000</v>
      </c>
    </row>
    <row r="7" spans="1:4" x14ac:dyDescent="0.3">
      <c r="A7" t="s">
        <v>203</v>
      </c>
      <c r="C7">
        <v>29000</v>
      </c>
    </row>
    <row r="8" spans="1:4" x14ac:dyDescent="0.3">
      <c r="A8" t="s">
        <v>204</v>
      </c>
      <c r="C8">
        <v>25000</v>
      </c>
    </row>
    <row r="9" spans="1:4" x14ac:dyDescent="0.3">
      <c r="A9" t="s">
        <v>40</v>
      </c>
      <c r="C9">
        <v>35000</v>
      </c>
    </row>
    <row r="10" spans="1:4" x14ac:dyDescent="0.3">
      <c r="A10" t="s">
        <v>205</v>
      </c>
      <c r="C10">
        <v>55000</v>
      </c>
    </row>
    <row r="11" spans="1:4" x14ac:dyDescent="0.3">
      <c r="A11" t="s">
        <v>206</v>
      </c>
      <c r="C11">
        <v>60000</v>
      </c>
    </row>
    <row r="12" spans="1:4" x14ac:dyDescent="0.3">
      <c r="A12" t="s">
        <v>207</v>
      </c>
      <c r="C12">
        <v>65000</v>
      </c>
    </row>
    <row r="13" spans="1:4" x14ac:dyDescent="0.3">
      <c r="A13" t="s">
        <v>208</v>
      </c>
      <c r="C13">
        <v>68000</v>
      </c>
    </row>
    <row r="14" spans="1:4" x14ac:dyDescent="0.3">
      <c r="A14" t="s">
        <v>209</v>
      </c>
      <c r="C14">
        <v>30000</v>
      </c>
    </row>
    <row r="15" spans="1:4" x14ac:dyDescent="0.3">
      <c r="A15" t="s">
        <v>95</v>
      </c>
      <c r="C15">
        <v>25000</v>
      </c>
    </row>
    <row r="16" spans="1:4" x14ac:dyDescent="0.3">
      <c r="A16" t="s">
        <v>94</v>
      </c>
      <c r="C16">
        <v>52000</v>
      </c>
    </row>
    <row r="17" spans="1:3" x14ac:dyDescent="0.3">
      <c r="A17" t="s">
        <v>210</v>
      </c>
      <c r="C17">
        <v>42000</v>
      </c>
    </row>
    <row r="18" spans="1:3" x14ac:dyDescent="0.3">
      <c r="A18" t="s">
        <v>61</v>
      </c>
      <c r="C18">
        <v>56000</v>
      </c>
    </row>
    <row r="19" spans="1:3" x14ac:dyDescent="0.3">
      <c r="A19" t="s">
        <v>211</v>
      </c>
      <c r="C19">
        <v>61000</v>
      </c>
    </row>
    <row r="20" spans="1:3" x14ac:dyDescent="0.3">
      <c r="A20" t="s">
        <v>212</v>
      </c>
      <c r="C20">
        <v>62000</v>
      </c>
    </row>
  </sheetData>
  <mergeCells count="1">
    <mergeCell ref="A1:D1"/>
  </mergeCells>
  <conditionalFormatting sqref="C3:C20">
    <cfRule type="cellIs" dxfId="5" priority="1" operator="lessThan">
      <formula>30000</formula>
    </cfRule>
    <cfRule type="cellIs" dxfId="4" priority="2" operator="lessThan">
      <formula>30000</formula>
    </cfRule>
    <cfRule type="cellIs" dxfId="3" priority="3" operator="between">
      <formula>30000</formula>
      <formula>49999</formula>
    </cfRule>
    <cfRule type="cellIs" dxfId="2" priority="4" operator="greaterThanOrEqual">
      <formula>50000</formula>
    </cfRule>
    <cfRule type="cellIs" dxfId="1" priority="5" operator="greaterThan">
      <formula>"30000-49999"</formula>
    </cfRule>
    <cfRule type="cellIs" dxfId="0" priority="6" operator="greaterThan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ASDC23</dc:creator>
  <cp:lastModifiedBy>Deep Barot</cp:lastModifiedBy>
  <cp:lastPrinted>2026-06-23T11:47:36Z</cp:lastPrinted>
  <dcterms:created xsi:type="dcterms:W3CDTF">2026-06-23T08:54:35Z</dcterms:created>
  <dcterms:modified xsi:type="dcterms:W3CDTF">2026-07-17T05:18:07Z</dcterms:modified>
</cp:coreProperties>
</file>