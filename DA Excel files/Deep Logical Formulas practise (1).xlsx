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3\Desktop\"/>
    </mc:Choice>
  </mc:AlternateContent>
  <xr:revisionPtr revIDLastSave="0" documentId="13_ncr:1_{F704FA8C-D208-4A58-93FD-B77A6DBA74E6}" xr6:coauthVersionLast="47" xr6:coauthVersionMax="47" xr10:uidLastSave="{00000000-0000-0000-0000-000000000000}"/>
  <bookViews>
    <workbookView xWindow="-120" yWindow="-120" windowWidth="20730" windowHeight="11040" firstSheet="1" activeTab="9" xr2:uid="{8D256E73-1D93-46B9-847F-6A343111A961}"/>
  </bookViews>
  <sheets>
    <sheet name="Sheet3" sheetId="3" r:id="rId1"/>
    <sheet name="Sheet4" sheetId="4" r:id="rId2"/>
    <sheet name="Sheet5" sheetId="5" r:id="rId3"/>
    <sheet name="Sheet6" sheetId="6" r:id="rId4"/>
    <sheet name="Sheet7" sheetId="7" r:id="rId5"/>
    <sheet name="Sheet8" sheetId="8" r:id="rId6"/>
    <sheet name="Sheet9" sheetId="9" r:id="rId7"/>
    <sheet name="Sheet10" sheetId="10" r:id="rId8"/>
    <sheet name="Sheet11" sheetId="11" r:id="rId9"/>
    <sheet name="Sheet12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5" l="1"/>
  <c r="D4" i="12"/>
  <c r="D5" i="12"/>
  <c r="D6" i="12"/>
  <c r="D3" i="12"/>
  <c r="C4" i="11"/>
  <c r="C5" i="11"/>
  <c r="C6" i="11"/>
  <c r="C3" i="11"/>
  <c r="C4" i="10"/>
  <c r="C5" i="10"/>
  <c r="C6" i="10"/>
  <c r="C3" i="10"/>
  <c r="D4" i="9"/>
  <c r="D5" i="9"/>
  <c r="D6" i="9"/>
  <c r="D3" i="9"/>
  <c r="D4" i="8"/>
  <c r="D5" i="8"/>
  <c r="D6" i="8"/>
  <c r="D3" i="8"/>
  <c r="D4" i="7"/>
  <c r="D5" i="7"/>
  <c r="D6" i="7"/>
  <c r="D3" i="7"/>
  <c r="D6" i="6"/>
  <c r="D4" i="6"/>
  <c r="D5" i="6"/>
  <c r="D3" i="6"/>
  <c r="C4" i="5"/>
  <c r="C5" i="5"/>
  <c r="C6" i="5"/>
  <c r="C7" i="5"/>
  <c r="C3" i="4"/>
  <c r="C4" i="4"/>
  <c r="C5" i="4"/>
  <c r="C6" i="4"/>
  <c r="D4" i="3"/>
  <c r="D5" i="3"/>
  <c r="D6" i="3"/>
  <c r="D7" i="3"/>
  <c r="D3" i="3"/>
</calcChain>
</file>

<file path=xl/sharedStrings.xml><?xml version="1.0" encoding="utf-8"?>
<sst xmlns="http://schemas.openxmlformats.org/spreadsheetml/2006/main" count="92" uniqueCount="55">
  <si>
    <t>Performance</t>
  </si>
  <si>
    <t>Sunita</t>
  </si>
  <si>
    <t>Manoj</t>
  </si>
  <si>
    <t>Kavita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</si>
  <si>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</si>
  <si>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</si>
  <si>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</si>
  <si>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</si>
  <si>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</si>
  <si>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</si>
  <si>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</si>
  <si>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</si>
  <si>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</si>
  <si>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</si>
  <si>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</si>
  <si>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</si>
  <si>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</si>
  <si>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</si>
  <si>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</si>
  <si>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</si>
  <si>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</si>
  <si>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</si>
  <si>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</si>
  <si>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</si>
  <si>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</si>
  <si>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</si>
  <si>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</si>
  <si>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</si>
  <si>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</si>
  <si>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</si>
  <si>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</si>
  <si>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</si>
  <si>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</si>
  <si>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</si>
  <si>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</si>
  <si>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</si>
  <si>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</si>
  <si>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</si>
  <si>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</si>
  <si>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</si>
  <si>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</si>
  <si>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</si>
  <si>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</si>
  <si>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</si>
  <si>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Raj</t>
  </si>
  <si>
    <t>Pass/Fail Using IF</t>
  </si>
  <si>
    <t>Salary Bonus Check</t>
  </si>
  <si>
    <t>Grade Calculation Nested IF</t>
  </si>
  <si>
    <t>Job Eligibility AND</t>
  </si>
  <si>
    <t>Exam Eligibility AND</t>
  </si>
  <si>
    <t>Discount Logic OR</t>
  </si>
  <si>
    <t>Loan Approval OR</t>
  </si>
  <si>
    <t>Attendance Status NOT</t>
  </si>
  <si>
    <t>Safe Division IF ERROR</t>
  </si>
  <si>
    <t>Peformance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</si>
</sst>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sz val="12"/>
      <color theme="0"/>
      <name val="Segoe U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/>
      <right/>
      <top/>
      <bottom style="medium">
        <color rgb="FF3D444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3E08-4CEE-4254-94CC-F770E353BA1D}">
  <dimension ref="A1:D7"/>
  <sheetViews>
    <sheetView workbookViewId="0">
      <selection activeCell="G6" sqref="G6"/>
    </sheetView>
  </sheetViews>
  <sheetFormatPr defaultRowHeight="15" x14ac:dyDescent="0.25"/>
  <cols>
    <col min="2" max="2" width="13.5703125" customWidth="1"/>
  </cols>
  <sheetData>
    <row r="1" spans="1:4" ht="16.5" thickBot="1" x14ac:dyDescent="0.3">
      <c r="A1" s="5" t="s">
        <v>45</v>
      </c>
      <c r="B1" s="5"/>
    </row>
    <row r="2" spans="1:4" ht="35.25" thickBo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18" thickBot="1" x14ac:dyDescent="0.3">
      <c r="A3" s="2">
        <v>1</v>
      </c>
      <c r="B3" s="2" t="s">
        <v>8</v>
      </c>
      <c r="C3" s="2">
        <v>78</v>
      </c>
      <c r="D3" s="4" t="str">
        <f>IF(C3&gt;40, "Pass","Fail")</f>
        <v>Pass</v>
      </c>
    </row>
    <row r="4" spans="1:4" ht="18" thickBot="1" x14ac:dyDescent="0.3">
      <c r="A4" s="3">
        <v>2</v>
      </c>
      <c r="B4" s="3" t="s">
        <v>9</v>
      </c>
      <c r="C4" s="3">
        <v>35</v>
      </c>
      <c r="D4" s="4" t="str">
        <f t="shared" ref="D4:D7" si="0">IF(C4&gt;40, "Pass","Fail")</f>
        <v>Fail</v>
      </c>
    </row>
    <row r="5" spans="1:4" ht="18" thickBot="1" x14ac:dyDescent="0.3">
      <c r="A5" s="2">
        <v>3</v>
      </c>
      <c r="B5" s="2" t="s">
        <v>10</v>
      </c>
      <c r="C5" s="2">
        <v>62</v>
      </c>
      <c r="D5" s="4" t="str">
        <f t="shared" si="0"/>
        <v>Pass</v>
      </c>
    </row>
    <row r="6" spans="1:4" ht="18" thickBot="1" x14ac:dyDescent="0.3">
      <c r="A6" s="3">
        <v>4</v>
      </c>
      <c r="B6" s="3" t="s">
        <v>11</v>
      </c>
      <c r="C6" s="3">
        <v>40</v>
      </c>
      <c r="D6" s="4" t="str">
        <f t="shared" si="0"/>
        <v>Fail</v>
      </c>
    </row>
    <row r="7" spans="1:4" ht="18" thickBot="1" x14ac:dyDescent="0.3">
      <c r="A7" s="2">
        <v>5</v>
      </c>
      <c r="B7" s="2" t="s">
        <v>12</v>
      </c>
      <c r="C7" s="2">
        <v>28</v>
      </c>
      <c r="D7" s="4" t="str">
        <f t="shared" si="0"/>
        <v>Fail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8ECC-6899-476D-B604-86E978796A8D}">
  <dimension ref="A1:C6"/>
  <sheetViews>
    <sheetView workbookViewId="0">
      <selection activeCell="E9" sqref="E9"/>
    </sheetView>
  </sheetViews>
  <sheetFormatPr defaultRowHeight="15" x14ac:dyDescent="0.25"/>
  <cols>
    <col min="1" max="1" width="14.7109375" customWidth="1"/>
    <col min="3" max="3" width="14.140625" customWidth="1"/>
  </cols>
  <sheetData>
    <row r="1" spans="1:3" ht="16.5" thickBot="1" x14ac:dyDescent="0.3">
      <c r="A1" s="5" t="s">
        <v>46</v>
      </c>
      <c r="B1" s="5"/>
    </row>
    <row r="2" spans="1:3" ht="35.25" thickBot="1" x14ac:dyDescent="0.3">
      <c r="A2" s="1" t="s">
        <v>13</v>
      </c>
      <c r="B2" s="1" t="s">
        <v>14</v>
      </c>
      <c r="C2" s="1" t="s">
        <v>15</v>
      </c>
    </row>
    <row r="3" spans="1:3" ht="18" thickBot="1" x14ac:dyDescent="0.3">
      <c r="A3" s="2" t="s">
        <v>16</v>
      </c>
      <c r="B3" s="2">
        <v>28000</v>
      </c>
      <c r="C3" s="2" t="str">
        <f>IF(B3&gt;=40000,"Bonus","No bonus")</f>
        <v>No bonus</v>
      </c>
    </row>
    <row r="4" spans="1:3" ht="18" thickBot="1" x14ac:dyDescent="0.3">
      <c r="A4" s="3" t="s">
        <v>17</v>
      </c>
      <c r="B4" s="3">
        <v>45000</v>
      </c>
      <c r="C4" s="2" t="str">
        <f>IF(B4&gt;=40000,"Bonus","No bonus")</f>
        <v>Bonus</v>
      </c>
    </row>
    <row r="5" spans="1:3" ht="18" thickBot="1" x14ac:dyDescent="0.3">
      <c r="A5" s="2" t="s">
        <v>18</v>
      </c>
      <c r="B5" s="2">
        <v>52000</v>
      </c>
      <c r="C5" s="2" t="str">
        <f t="shared" ref="C5:C6" si="0">IF(B5&gt;=40000,"Bonus","No bonus")</f>
        <v>Bonus</v>
      </c>
    </row>
    <row r="6" spans="1:3" ht="18" thickBot="1" x14ac:dyDescent="0.3">
      <c r="A6" s="3" t="s">
        <v>19</v>
      </c>
      <c r="B6" s="3">
        <v>30000</v>
      </c>
      <c r="C6" s="2" t="str">
        <f t="shared" si="0"/>
        <v>No bonus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5032-55A9-4475-8D2E-0B9326A8FA10}">
  <dimension ref="A1:C7"/>
  <sheetViews>
    <sheetView workbookViewId="0">
      <selection activeCell="F7" sqref="F7"/>
    </sheetView>
  </sheetViews>
  <sheetFormatPr defaultRowHeight="15" x14ac:dyDescent="0.25"/>
  <cols>
    <col min="1" max="1" width="14.28515625" customWidth="1"/>
  </cols>
  <sheetData>
    <row r="1" spans="1:3" ht="16.5" thickBot="1" x14ac:dyDescent="0.3">
      <c r="A1" s="5" t="s">
        <v>47</v>
      </c>
      <c r="B1" s="5"/>
      <c r="C1" s="5"/>
    </row>
    <row r="2" spans="1:3" ht="35.25" thickBot="1" x14ac:dyDescent="0.3">
      <c r="A2" s="1" t="s">
        <v>5</v>
      </c>
      <c r="B2" s="1" t="s">
        <v>6</v>
      </c>
      <c r="C2" s="1" t="s">
        <v>20</v>
      </c>
    </row>
    <row r="3" spans="1:3" ht="18" thickBot="1" x14ac:dyDescent="0.3">
      <c r="A3" s="2" t="s">
        <v>8</v>
      </c>
      <c r="B3" s="2">
        <v>82</v>
      </c>
      <c r="C3" s="2" t="str">
        <f>IF(B3&gt;=75,"A", IF(B3&gt;=60,"B", IF(B3&gt;=40, "C",  "FAIL")))</f>
        <v>A</v>
      </c>
    </row>
    <row r="4" spans="1:3" ht="18" thickBot="1" x14ac:dyDescent="0.3">
      <c r="A4" s="3" t="s">
        <v>9</v>
      </c>
      <c r="B4" s="3">
        <v>67</v>
      </c>
      <c r="C4" s="2" t="str">
        <f t="shared" ref="C4:C7" si="0">IF(B4&gt;=75,"A", IF(B4&gt;=60,"B", IF(B4&gt;=40, "C",  "FAIL")))</f>
        <v>B</v>
      </c>
    </row>
    <row r="5" spans="1:3" ht="18" thickBot="1" x14ac:dyDescent="0.3">
      <c r="A5" s="2" t="s">
        <v>10</v>
      </c>
      <c r="B5" s="2">
        <v>45</v>
      </c>
      <c r="C5" s="2" t="str">
        <f t="shared" si="0"/>
        <v>C</v>
      </c>
    </row>
    <row r="6" spans="1:3" ht="18" thickBot="1" x14ac:dyDescent="0.3">
      <c r="A6" s="3" t="s">
        <v>11</v>
      </c>
      <c r="B6" s="3">
        <v>33</v>
      </c>
      <c r="C6" s="2" t="str">
        <f t="shared" si="0"/>
        <v>FAIL</v>
      </c>
    </row>
    <row r="7" spans="1:3" ht="18" thickBot="1" x14ac:dyDescent="0.3">
      <c r="A7" s="2" t="s">
        <v>12</v>
      </c>
      <c r="B7" s="2">
        <v>90</v>
      </c>
      <c r="C7" s="2" t="str">
        <f t="shared" si="0"/>
        <v>A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DC46-9589-416F-BFEC-0378C567014A}">
  <dimension ref="A1:D6"/>
  <sheetViews>
    <sheetView workbookViewId="0">
      <selection activeCell="H6" sqref="H6"/>
    </sheetView>
  </sheetViews>
  <sheetFormatPr defaultRowHeight="15" x14ac:dyDescent="0.25"/>
  <cols>
    <col min="1" max="1" width="12.7109375" customWidth="1"/>
    <col min="3" max="3" width="14" customWidth="1"/>
    <col min="4" max="4" width="12.85546875" customWidth="1"/>
  </cols>
  <sheetData>
    <row r="1" spans="1:4" ht="16.5" thickBot="1" x14ac:dyDescent="0.3">
      <c r="A1" s="5" t="s">
        <v>48</v>
      </c>
      <c r="B1" s="5"/>
    </row>
    <row r="2" spans="1:4" ht="35.25" thickBot="1" x14ac:dyDescent="0.3">
      <c r="A2" s="1" t="s">
        <v>21</v>
      </c>
      <c r="B2" s="1" t="s">
        <v>22</v>
      </c>
      <c r="C2" s="1" t="s">
        <v>23</v>
      </c>
      <c r="D2" s="1" t="s">
        <v>24</v>
      </c>
    </row>
    <row r="3" spans="1:4" ht="18" thickBot="1" x14ac:dyDescent="0.3">
      <c r="A3" s="2" t="s">
        <v>16</v>
      </c>
      <c r="B3" s="2">
        <v>25</v>
      </c>
      <c r="C3" s="2">
        <v>2</v>
      </c>
      <c r="D3" s="2" t="str">
        <f>IF(AND(B3&gt;=21,C3&gt;=1), "Eligible", "Not Eligible")</f>
        <v>Eligible</v>
      </c>
    </row>
    <row r="4" spans="1:4" ht="35.25" thickBot="1" x14ac:dyDescent="0.3">
      <c r="A4" s="3" t="s">
        <v>17</v>
      </c>
      <c r="B4" s="3">
        <v>20</v>
      </c>
      <c r="C4" s="3">
        <v>1</v>
      </c>
      <c r="D4" s="2" t="str">
        <f>IF(AND(B4&gt;=21,C4&gt;=1), "Eligible", "Not Eligible")</f>
        <v>Not Eligible</v>
      </c>
    </row>
    <row r="5" spans="1:4" ht="18" thickBot="1" x14ac:dyDescent="0.3">
      <c r="A5" s="2" t="s">
        <v>18</v>
      </c>
      <c r="B5" s="2">
        <v>30</v>
      </c>
      <c r="C5" s="2">
        <v>5</v>
      </c>
      <c r="D5" s="2" t="str">
        <f t="shared" ref="D5:D6" si="0">IF(AND(B5&gt;=21,C5&gt;=1), "Eligible", "Not Eligible")</f>
        <v>Eligible</v>
      </c>
    </row>
    <row r="6" spans="1:4" ht="35.25" thickBot="1" x14ac:dyDescent="0.3">
      <c r="A6" s="3" t="s">
        <v>19</v>
      </c>
      <c r="B6" s="3">
        <v>22</v>
      </c>
      <c r="C6" s="3">
        <v>0</v>
      </c>
      <c r="D6" s="2" t="str">
        <f t="shared" si="0"/>
        <v>Not Eligible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12DC-DBB0-443B-BCDA-935FAD47F8AE}">
  <dimension ref="A1:D6"/>
  <sheetViews>
    <sheetView workbookViewId="0">
      <selection activeCell="H7" sqref="H7"/>
    </sheetView>
  </sheetViews>
  <sheetFormatPr defaultRowHeight="15" x14ac:dyDescent="0.25"/>
  <cols>
    <col min="1" max="1" width="12.42578125" customWidth="1"/>
    <col min="2" max="2" width="15.85546875" customWidth="1"/>
    <col min="3" max="3" width="18.28515625" customWidth="1"/>
    <col min="4" max="4" width="23.85546875" customWidth="1"/>
  </cols>
  <sheetData>
    <row r="1" spans="1:4" ht="16.5" thickBot="1" x14ac:dyDescent="0.3">
      <c r="A1" s="5" t="s">
        <v>49</v>
      </c>
      <c r="B1" s="5"/>
    </row>
    <row r="2" spans="1:4" ht="35.25" thickBot="1" x14ac:dyDescent="0.3">
      <c r="A2" s="1" t="s">
        <v>5</v>
      </c>
      <c r="B2" s="1" t="s">
        <v>25</v>
      </c>
      <c r="C2" s="1" t="s">
        <v>26</v>
      </c>
      <c r="D2" s="1" t="s">
        <v>24</v>
      </c>
    </row>
    <row r="3" spans="1:4" ht="18" thickBot="1" x14ac:dyDescent="0.3">
      <c r="A3" s="2" t="s">
        <v>8</v>
      </c>
      <c r="B3" s="2">
        <v>85</v>
      </c>
      <c r="C3" s="2" t="s">
        <v>27</v>
      </c>
      <c r="D3" s="2" t="str">
        <f>IF(AND(B3&gt;=75,C3="YES"), "ELIGIBLE", "NOT ELIGIBLE")</f>
        <v>ELIGIBLE</v>
      </c>
    </row>
    <row r="4" spans="1:4" ht="18" thickBot="1" x14ac:dyDescent="0.3">
      <c r="A4" s="3" t="s">
        <v>9</v>
      </c>
      <c r="B4" s="3">
        <v>72</v>
      </c>
      <c r="C4" s="3" t="s">
        <v>27</v>
      </c>
      <c r="D4" s="2" t="str">
        <f t="shared" ref="D4:D6" si="0">IF(AND(B4&gt;=75,C4="YES"), "ELIGIBLE", "NOT ELIGIBLE")</f>
        <v>NOT ELIGIBLE</v>
      </c>
    </row>
    <row r="5" spans="1:4" ht="18" thickBot="1" x14ac:dyDescent="0.3">
      <c r="A5" s="2" t="s">
        <v>10</v>
      </c>
      <c r="B5" s="2">
        <v>90</v>
      </c>
      <c r="C5" s="2" t="s">
        <v>28</v>
      </c>
      <c r="D5" s="2" t="str">
        <f t="shared" si="0"/>
        <v>NOT ELIGIBLE</v>
      </c>
    </row>
    <row r="6" spans="1:4" ht="18" thickBot="1" x14ac:dyDescent="0.3">
      <c r="A6" s="3" t="s">
        <v>11</v>
      </c>
      <c r="B6" s="3">
        <v>80</v>
      </c>
      <c r="C6" s="3" t="s">
        <v>27</v>
      </c>
      <c r="D6" s="2" t="str">
        <f t="shared" si="0"/>
        <v>ELIGIBLE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5090-4534-4993-953E-E27A8A59BA05}">
  <dimension ref="A1:D6"/>
  <sheetViews>
    <sheetView workbookViewId="0">
      <selection activeCell="F2" sqref="F2"/>
    </sheetView>
  </sheetViews>
  <sheetFormatPr defaultRowHeight="15" x14ac:dyDescent="0.25"/>
  <cols>
    <col min="1" max="1" width="14.85546875" customWidth="1"/>
    <col min="2" max="2" width="14.42578125" customWidth="1"/>
    <col min="3" max="3" width="15.7109375" customWidth="1"/>
    <col min="4" max="4" width="18.28515625" customWidth="1"/>
  </cols>
  <sheetData>
    <row r="1" spans="1:4" ht="16.5" thickBot="1" x14ac:dyDescent="0.3">
      <c r="A1" s="5" t="s">
        <v>50</v>
      </c>
      <c r="B1" s="5"/>
    </row>
    <row r="2" spans="1:4" ht="35.25" thickBot="1" x14ac:dyDescent="0.3">
      <c r="A2" s="1" t="s">
        <v>29</v>
      </c>
      <c r="B2" s="1" t="s">
        <v>30</v>
      </c>
      <c r="C2" s="1" t="s">
        <v>31</v>
      </c>
      <c r="D2" s="1" t="s">
        <v>32</v>
      </c>
    </row>
    <row r="3" spans="1:4" ht="18" thickBot="1" x14ac:dyDescent="0.3">
      <c r="A3" s="2" t="s">
        <v>33</v>
      </c>
      <c r="B3" s="2">
        <v>9000</v>
      </c>
      <c r="C3" s="2" t="s">
        <v>28</v>
      </c>
      <c r="D3" s="2" t="str">
        <f>IF(OR(B3&gt;=10000,C3="YES"),"DISCOUNT","NO DISCOUNT")</f>
        <v>NO DISCOUNT</v>
      </c>
    </row>
    <row r="4" spans="1:4" ht="18" thickBot="1" x14ac:dyDescent="0.3">
      <c r="A4" s="3" t="s">
        <v>34</v>
      </c>
      <c r="B4" s="3">
        <v>12000</v>
      </c>
      <c r="C4" s="3" t="s">
        <v>28</v>
      </c>
      <c r="D4" s="2" t="str">
        <f t="shared" ref="D4:D6" si="0">IF(OR(B4&gt;=10000,C4="YES"),"DISCOUNT","NO DISCOUNT")</f>
        <v>DISCOUNT</v>
      </c>
    </row>
    <row r="5" spans="1:4" ht="18" thickBot="1" x14ac:dyDescent="0.3">
      <c r="A5" s="2" t="s">
        <v>10</v>
      </c>
      <c r="B5" s="2">
        <v>4000</v>
      </c>
      <c r="C5" s="2" t="s">
        <v>27</v>
      </c>
      <c r="D5" s="2" t="str">
        <f t="shared" si="0"/>
        <v>DISCOUNT</v>
      </c>
    </row>
    <row r="6" spans="1:4" ht="18" thickBot="1" x14ac:dyDescent="0.3">
      <c r="A6" s="3" t="s">
        <v>35</v>
      </c>
      <c r="B6" s="3">
        <v>3000</v>
      </c>
      <c r="C6" s="3" t="s">
        <v>28</v>
      </c>
      <c r="D6" s="2" t="str">
        <f t="shared" si="0"/>
        <v>NO DISCOUNT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EC03-AC1B-4FF7-A275-3B2D37F8E26B}">
  <dimension ref="A1:D6"/>
  <sheetViews>
    <sheetView workbookViewId="0">
      <selection activeCell="G8" sqref="G8"/>
    </sheetView>
  </sheetViews>
  <sheetFormatPr defaultRowHeight="15" x14ac:dyDescent="0.25"/>
  <cols>
    <col min="1" max="1" width="15.28515625" customWidth="1"/>
    <col min="2" max="2" width="15.7109375" customWidth="1"/>
    <col min="3" max="3" width="15.140625" customWidth="1"/>
    <col min="4" max="4" width="16" customWidth="1"/>
  </cols>
  <sheetData>
    <row r="1" spans="1:4" ht="16.5" thickBot="1" x14ac:dyDescent="0.3">
      <c r="A1" s="5" t="s">
        <v>51</v>
      </c>
      <c r="B1" s="5"/>
    </row>
    <row r="2" spans="1:4" ht="18" thickBot="1" x14ac:dyDescent="0.3">
      <c r="A2" s="1" t="s">
        <v>36</v>
      </c>
      <c r="B2" s="1" t="s">
        <v>14</v>
      </c>
      <c r="C2" s="1" t="s">
        <v>37</v>
      </c>
      <c r="D2" s="1" t="s">
        <v>38</v>
      </c>
    </row>
    <row r="3" spans="1:4" ht="18" thickBot="1" x14ac:dyDescent="0.3">
      <c r="A3" s="2" t="s">
        <v>16</v>
      </c>
      <c r="B3" s="2">
        <v>35000</v>
      </c>
      <c r="C3" s="2">
        <v>720</v>
      </c>
      <c r="D3" s="2" t="str">
        <f>IF(OR(B3&gt;=40000, C3&gt;=700), "APPROVED", "REJECTED")</f>
        <v>APPROVED</v>
      </c>
    </row>
    <row r="4" spans="1:4" ht="18" thickBot="1" x14ac:dyDescent="0.3">
      <c r="A4" s="3" t="s">
        <v>17</v>
      </c>
      <c r="B4" s="3">
        <v>25000</v>
      </c>
      <c r="C4" s="3">
        <v>680</v>
      </c>
      <c r="D4" s="2" t="str">
        <f t="shared" ref="D4:D6" si="0">IF(OR(B4&gt;=40000, C4&gt;=700), "APPROVED", "REJECTED")</f>
        <v>REJECTED</v>
      </c>
    </row>
    <row r="5" spans="1:4" ht="18" thickBot="1" x14ac:dyDescent="0.3">
      <c r="A5" s="2" t="s">
        <v>18</v>
      </c>
      <c r="B5" s="2">
        <v>50000</v>
      </c>
      <c r="C5" s="2">
        <v>650</v>
      </c>
      <c r="D5" s="2" t="str">
        <f t="shared" si="0"/>
        <v>APPROVED</v>
      </c>
    </row>
    <row r="6" spans="1:4" ht="18" thickBot="1" x14ac:dyDescent="0.3">
      <c r="A6" s="3" t="s">
        <v>19</v>
      </c>
      <c r="B6" s="3">
        <v>20000</v>
      </c>
      <c r="C6" s="3">
        <v>600</v>
      </c>
      <c r="D6" s="2" t="str">
        <f t="shared" si="0"/>
        <v>REJECTED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A5D0-C3D2-442C-898E-8AECF554A404}">
  <dimension ref="A1:C6"/>
  <sheetViews>
    <sheetView workbookViewId="0">
      <selection activeCell="I16" sqref="I16"/>
    </sheetView>
  </sheetViews>
  <sheetFormatPr defaultRowHeight="15" x14ac:dyDescent="0.25"/>
  <cols>
    <col min="2" max="3" width="15.28515625" customWidth="1"/>
  </cols>
  <sheetData>
    <row r="1" spans="1:3" ht="16.5" thickBot="1" x14ac:dyDescent="0.3">
      <c r="A1" s="5" t="s">
        <v>52</v>
      </c>
      <c r="B1" s="5"/>
    </row>
    <row r="2" spans="1:3" ht="18" thickBot="1" x14ac:dyDescent="0.3">
      <c r="A2" s="1" t="s">
        <v>21</v>
      </c>
      <c r="B2" s="1" t="s">
        <v>39</v>
      </c>
      <c r="C2" s="1" t="s">
        <v>40</v>
      </c>
    </row>
    <row r="3" spans="1:3" ht="18" thickBot="1" x14ac:dyDescent="0.3">
      <c r="A3" s="2" t="s">
        <v>8</v>
      </c>
      <c r="B3" s="2" t="b">
        <v>1</v>
      </c>
      <c r="C3" s="2" t="str">
        <f>IF(NOT(B3), "Absent", "Present")</f>
        <v>Present</v>
      </c>
    </row>
    <row r="4" spans="1:3" ht="18" thickBot="1" x14ac:dyDescent="0.3">
      <c r="A4" s="3" t="s">
        <v>9</v>
      </c>
      <c r="B4" s="3" t="b">
        <v>0</v>
      </c>
      <c r="C4" s="2" t="str">
        <f t="shared" ref="C4:C6" si="0">IF(NOT(B4), "Absent", "Present")</f>
        <v>Absent</v>
      </c>
    </row>
    <row r="5" spans="1:3" ht="18" thickBot="1" x14ac:dyDescent="0.3">
      <c r="A5" s="2" t="s">
        <v>10</v>
      </c>
      <c r="B5" s="2" t="b">
        <v>1</v>
      </c>
      <c r="C5" s="2" t="str">
        <f t="shared" si="0"/>
        <v>Present</v>
      </c>
    </row>
    <row r="6" spans="1:3" ht="18" thickBot="1" x14ac:dyDescent="0.3">
      <c r="A6" s="3" t="s">
        <v>11</v>
      </c>
      <c r="B6" s="3" t="b">
        <v>0</v>
      </c>
      <c r="C6" s="2" t="str">
        <f t="shared" si="0"/>
        <v>Absent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531F-CA19-42A7-8A95-FB0E498CA5BC}">
  <dimension ref="A1:C6"/>
  <sheetViews>
    <sheetView workbookViewId="0">
      <selection activeCell="G10" sqref="G10"/>
    </sheetView>
  </sheetViews>
  <sheetFormatPr defaultRowHeight="15" x14ac:dyDescent="0.25"/>
  <cols>
    <col min="1" max="1" width="15.85546875" customWidth="1"/>
    <col min="2" max="3" width="15.42578125" customWidth="1"/>
  </cols>
  <sheetData>
    <row r="1" spans="1:3" ht="16.5" thickBot="1" x14ac:dyDescent="0.3">
      <c r="A1" s="5" t="s">
        <v>53</v>
      </c>
      <c r="B1" s="5"/>
    </row>
    <row r="2" spans="1:3" ht="18" thickBot="1" x14ac:dyDescent="0.3">
      <c r="A2" s="1" t="s">
        <v>41</v>
      </c>
      <c r="B2" s="1" t="s">
        <v>42</v>
      </c>
      <c r="C2" s="1" t="s">
        <v>7</v>
      </c>
    </row>
    <row r="3" spans="1:3" ht="18" thickBot="1" x14ac:dyDescent="0.3">
      <c r="A3" s="2">
        <v>10</v>
      </c>
      <c r="B3" s="2">
        <v>2</v>
      </c>
      <c r="C3" s="2">
        <f>IFERROR(A3/B3, "Invalid")</f>
        <v>5</v>
      </c>
    </row>
    <row r="4" spans="1:3" ht="18" thickBot="1" x14ac:dyDescent="0.3">
      <c r="A4" s="3">
        <v>15</v>
      </c>
      <c r="B4" s="3">
        <v>0</v>
      </c>
      <c r="C4" s="2" t="str">
        <f t="shared" ref="C4:C6" si="0">IFERROR(A4/B4, "Invalid")</f>
        <v>Invalid</v>
      </c>
    </row>
    <row r="5" spans="1:3" ht="18" thickBot="1" x14ac:dyDescent="0.3">
      <c r="A5" s="2">
        <v>20</v>
      </c>
      <c r="B5" s="2">
        <v>5</v>
      </c>
      <c r="C5" s="2">
        <f t="shared" si="0"/>
        <v>4</v>
      </c>
    </row>
    <row r="6" spans="1:3" ht="18" thickBot="1" x14ac:dyDescent="0.3">
      <c r="A6" s="3">
        <v>8</v>
      </c>
      <c r="B6" s="3">
        <v>0</v>
      </c>
      <c r="C6" s="2" t="str">
        <f t="shared" si="0"/>
        <v>Invalid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35A6-969F-4405-A4AE-B647BF4B86B0}">
  <dimension ref="A1:D6"/>
  <sheetViews>
    <sheetView tabSelected="1" workbookViewId="0">
      <selection activeCell="F6" sqref="F6"/>
    </sheetView>
  </sheetViews>
  <sheetFormatPr defaultRowHeight="15" x14ac:dyDescent="0.25"/>
  <cols>
    <col min="1" max="1" width="16" customWidth="1"/>
    <col min="2" max="2" width="19.42578125" customWidth="1"/>
    <col min="3" max="3" width="17.140625" customWidth="1"/>
    <col min="4" max="4" width="21.85546875" customWidth="1"/>
  </cols>
  <sheetData>
    <row r="1" spans="1:4" ht="16.5" thickBot="1" x14ac:dyDescent="0.3">
      <c r="A1" s="5" t="s">
        <v>54</v>
      </c>
      <c r="B1" s="5"/>
    </row>
    <row r="2" spans="1:4" ht="35.25" thickBot="1" x14ac:dyDescent="0.3">
      <c r="A2" s="1" t="s">
        <v>13</v>
      </c>
      <c r="B2" s="1" t="s">
        <v>43</v>
      </c>
      <c r="C2" s="1" t="s">
        <v>25</v>
      </c>
      <c r="D2" s="1" t="s">
        <v>0</v>
      </c>
    </row>
    <row r="3" spans="1:4" ht="18" thickBot="1" x14ac:dyDescent="0.3">
      <c r="A3" s="2" t="s">
        <v>44</v>
      </c>
      <c r="B3" s="2">
        <v>45</v>
      </c>
      <c r="C3" s="2">
        <v>92</v>
      </c>
      <c r="D3" s="2" t="str">
        <f>IF(AND(C3&gt;=90, B3&gt;=40), "Excellent", IF(C3&gt;=80, "Good", "Needs Improvement"))</f>
        <v>Excellent</v>
      </c>
    </row>
    <row r="4" spans="1:4" ht="18" thickBot="1" x14ac:dyDescent="0.3">
      <c r="A4" s="3" t="s">
        <v>1</v>
      </c>
      <c r="B4" s="3">
        <v>38</v>
      </c>
      <c r="C4" s="3">
        <v>85</v>
      </c>
      <c r="D4" s="2" t="str">
        <f t="shared" ref="D4:D6" si="0">IF(AND(C4&gt;=90, B4&gt;=40), "Excellent", IF(C4&gt;=80, "Good", "Needs Improvement"))</f>
        <v>Good</v>
      </c>
    </row>
    <row r="5" spans="1:4" ht="18" thickBot="1" x14ac:dyDescent="0.3">
      <c r="A5" s="2" t="s">
        <v>2</v>
      </c>
      <c r="B5" s="2">
        <v>50</v>
      </c>
      <c r="C5" s="2">
        <v>95</v>
      </c>
      <c r="D5" s="2" t="str">
        <f t="shared" si="0"/>
        <v>Excellent</v>
      </c>
    </row>
    <row r="6" spans="1:4" ht="35.25" thickBot="1" x14ac:dyDescent="0.3">
      <c r="A6" s="3" t="s">
        <v>3</v>
      </c>
      <c r="B6" s="3">
        <v>30</v>
      </c>
      <c r="C6" s="3">
        <v>70</v>
      </c>
      <c r="D6" s="2" t="str">
        <f t="shared" si="0"/>
        <v>Needs Improvement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ASDC23</cp:lastModifiedBy>
  <dcterms:created xsi:type="dcterms:W3CDTF">2026-06-24T09:06:57Z</dcterms:created>
  <dcterms:modified xsi:type="dcterms:W3CDTF">2026-06-24T10:46:11Z</dcterms:modified>
</cp:coreProperties>
</file>