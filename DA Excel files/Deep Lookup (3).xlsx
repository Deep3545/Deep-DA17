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d\OneDrive\Desktop\DA Excel files\"/>
    </mc:Choice>
  </mc:AlternateContent>
  <xr:revisionPtr revIDLastSave="0" documentId="13_ncr:1_{54CDBED6-FF38-4278-BA28-5A8A3E7CF23D}" xr6:coauthVersionLast="47" xr6:coauthVersionMax="47" xr10:uidLastSave="{00000000-0000-0000-0000-000000000000}"/>
  <bookViews>
    <workbookView xWindow="-108" yWindow="-108" windowWidth="23256" windowHeight="12456" xr2:uid="{555FB348-F128-414C-B9B0-AB5F18D81F25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6" i="1" l="1"/>
  <c r="B72" i="1"/>
  <c r="B37" i="1"/>
  <c r="B32" i="1"/>
  <c r="B27" i="1" a="1"/>
  <c r="B27" i="1" s="1"/>
  <c r="B106" i="1"/>
  <c r="B101" i="1"/>
  <c r="B96" i="1"/>
  <c r="B91" i="1"/>
  <c r="B86" i="1"/>
  <c r="B59" i="1"/>
  <c r="B78" i="1"/>
  <c r="H3" i="1"/>
  <c r="H4" i="1"/>
  <c r="H5" i="1"/>
  <c r="H6" i="1"/>
  <c r="H7" i="1"/>
  <c r="H8" i="1"/>
  <c r="H9" i="1"/>
  <c r="H10" i="1"/>
  <c r="B47" i="1"/>
  <c r="B52" i="1"/>
  <c r="B4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<sst xmlns="http://schemas.openxmlformats.org/spreadsheetml/2006/main" count="136" uniqueCount="71">
  <si>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</si>
  <si>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</si>
  <si>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</si>
  <si>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</si>
  <si>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</si>
  <si>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</si>
  <si>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</si>
  <si>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</si>
  <si>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</si>
  <si>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</si>
  <si>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</si>
  <si>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</si>
  <si>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</si>
  <si>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</si>
  <si>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</si>
  <si>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</si>
  <si>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</si>
  <si>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</si>
  <si>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</si>
  <si>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</si>
  <si>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</si>
  <si>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</si>
  <si>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</si>
  <si>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</si>
  <si>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</si>
  <si>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</si>
  <si>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</si>
  <si>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</si>
  <si>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</si>
  <si>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</si>
  <si>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</si>
  <si>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</si>
  <si>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</si>
  <si>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Employee_Data</t>
  </si>
  <si>
    <t>Department_Bonus</t>
  </si>
  <si>
    <t>Bonus %</t>
  </si>
  <si>
    <t>Search_Input</t>
  </si>
  <si>
    <t>VLOOKUP</t>
  </si>
  <si>
    <t>1. Find the Name of employee using EmployeeID from Search_Input.</t>
  </si>
  <si>
    <t>2. Find the Department of employee with ID E103.</t>
  </si>
  <si>
    <t>3. Find the Salary of employee Neha Singh using VLOOKUP.</t>
  </si>
  <si>
    <t>4. Get the Location of employee E107.</t>
  </si>
  <si>
    <t>5. If EmployeeID is not found, display "Not Found".</t>
  </si>
  <si>
    <t>E110</t>
  </si>
  <si>
    <t>6. Find the JoiningYear of employee E101.</t>
  </si>
  <si>
    <t>7. Find the Bonus % for IT department.</t>
  </si>
  <si>
    <t xml:space="preserve">Bonus % </t>
  </si>
  <si>
    <t>Bonus Amount</t>
  </si>
  <si>
    <t>Bonus amount</t>
  </si>
  <si>
    <t>Dept</t>
  </si>
  <si>
    <t>EmpID</t>
  </si>
  <si>
    <t>Bonus%</t>
  </si>
  <si>
    <t>Find the Bonus % for F</t>
  </si>
  <si>
    <t>8. Find the Bonus % for Finance department.</t>
  </si>
  <si>
    <t xml:space="preserve">9. Calculate Bonus Amount for employee E104
(Bonus Amount = Salary × Bonus %). </t>
  </si>
  <si>
    <t>empid</t>
  </si>
  <si>
    <t>10. If department is invalid, display "No Bonus Data".</t>
  </si>
  <si>
    <t>Sales Executive</t>
  </si>
  <si>
    <t>Xlookup</t>
  </si>
  <si>
    <t>11. Find Salary using EmployeeID.</t>
  </si>
  <si>
    <t>Emp id</t>
  </si>
  <si>
    <t>12. Find Department using Employee Name.</t>
  </si>
  <si>
    <t>Emp Name</t>
  </si>
  <si>
    <t>13. Fetch Location of employee Rohit Verma.</t>
  </si>
  <si>
    <t>14 . If EmployeeID = E999, return "Employee Not Found".</t>
  </si>
  <si>
    <t>Empid</t>
  </si>
  <si>
    <t>E999</t>
  </si>
  <si>
    <t>15. Find Bonus % using XLOOKUP from Department_Bonus (horizontal lookup).</t>
  </si>
  <si>
    <t>Dept_Bonus</t>
  </si>
  <si>
    <t>Employee Name</t>
  </si>
  <si>
    <t>Bonus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</si>
</sst>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9" fontId="0" fillId="0" borderId="0" xfId="0" applyNumberFormat="1"/>
    <xf numFmtId="9" fontId="3" fillId="2" borderId="1" xfId="0" applyNumberFormat="1" applyFont="1" applyFill="1" applyBorder="1" applyAlignment="1">
      <alignment horizontal="righ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2" fontId="3" fillId="2" borderId="1" xfId="1" applyNumberFormat="1" applyFont="1" applyFill="1" applyBorder="1" applyAlignment="1">
      <alignment horizontal="left" vertical="center" wrapText="1" indent="1"/>
    </xf>
    <xf numFmtId="0" fontId="5" fillId="0" borderId="0" xfId="0" applyFont="1"/>
    <xf numFmtId="0" fontId="2" fillId="2" borderId="1" xfId="0" applyFont="1" applyFill="1" applyBorder="1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a80480d2dc3f303/Desktop/lookup%20practise.xlsx" TargetMode="External"/><Relationship Id="rId1" Type="http://schemas.openxmlformats.org/officeDocument/2006/relationships/externalLinkPath" Target="https://d.docs.live.net/da80480d2dc3f303/Desktop/lookup%20practi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8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0037-617E-4EE1-98D7-68051FB9105D}">
  <dimension ref="A1:N106"/>
  <sheetViews>
    <sheetView tabSelected="1" topLeftCell="A70" workbookViewId="0">
      <selection activeCell="E91" sqref="E91"/>
    </sheetView>
  </sheetViews>
  <sheetFormatPr defaultRowHeight="14.4" x14ac:dyDescent="0.3"/>
  <cols>
    <col min="1" max="1" width="17.88671875" customWidth="1"/>
    <col min="2" max="2" width="25" customWidth="1"/>
    <col min="3" max="3" width="17.44140625" customWidth="1"/>
    <col min="4" max="4" width="18.109375" customWidth="1"/>
    <col min="5" max="5" width="17.5546875" customWidth="1"/>
    <col min="6" max="6" width="18.88671875" customWidth="1"/>
    <col min="7" max="7" width="12.5546875" customWidth="1"/>
    <col min="8" max="8" width="13.5546875" customWidth="1"/>
  </cols>
  <sheetData>
    <row r="1" spans="1:8" ht="15" thickBot="1" x14ac:dyDescent="0.35">
      <c r="A1" s="7" t="s">
        <v>33</v>
      </c>
    </row>
    <row r="2" spans="1:8" ht="39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2" t="s">
        <v>46</v>
      </c>
      <c r="H2" s="12" t="s">
        <v>47</v>
      </c>
    </row>
    <row r="3" spans="1:8" ht="19.8" thickBot="1" x14ac:dyDescent="0.35">
      <c r="A3" s="3" t="s">
        <v>6</v>
      </c>
      <c r="B3" s="4" t="s">
        <v>7</v>
      </c>
      <c r="C3" s="4" t="s">
        <v>8</v>
      </c>
      <c r="D3" s="4" t="s">
        <v>9</v>
      </c>
      <c r="E3" s="3">
        <v>45000</v>
      </c>
      <c r="F3" s="3">
        <v>2019</v>
      </c>
      <c r="G3" s="8">
        <v>0.1</v>
      </c>
      <c r="H3">
        <f>ROUND(E3*G3, 0)</f>
        <v>4500</v>
      </c>
    </row>
    <row r="4" spans="1:8" ht="19.8" thickBot="1" x14ac:dyDescent="0.35">
      <c r="A4" s="5" t="s">
        <v>10</v>
      </c>
      <c r="B4" s="6" t="s">
        <v>11</v>
      </c>
      <c r="C4" s="6" t="s">
        <v>12</v>
      </c>
      <c r="D4" s="6" t="s">
        <v>13</v>
      </c>
      <c r="E4" s="5">
        <v>52000</v>
      </c>
      <c r="F4" s="5">
        <v>2018</v>
      </c>
      <c r="G4" s="8">
        <v>0.08</v>
      </c>
      <c r="H4">
        <f t="shared" ref="H4:H10" si="0">ROUND(E4*G4, 0)</f>
        <v>4160</v>
      </c>
    </row>
    <row r="5" spans="1:8" ht="19.8" thickBot="1" x14ac:dyDescent="0.35">
      <c r="A5" s="3" t="s">
        <v>14</v>
      </c>
      <c r="B5" s="4" t="s">
        <v>15</v>
      </c>
      <c r="C5" s="4" t="s">
        <v>16</v>
      </c>
      <c r="D5" s="4" t="s">
        <v>17</v>
      </c>
      <c r="E5" s="3">
        <v>65000</v>
      </c>
      <c r="F5" s="3">
        <v>2020</v>
      </c>
      <c r="G5" s="8">
        <v>0.12</v>
      </c>
      <c r="H5">
        <f t="shared" si="0"/>
        <v>7800</v>
      </c>
    </row>
    <row r="6" spans="1:8" ht="19.8" thickBot="1" x14ac:dyDescent="0.35">
      <c r="A6" s="5" t="s">
        <v>18</v>
      </c>
      <c r="B6" s="6" t="s">
        <v>19</v>
      </c>
      <c r="C6" s="6" t="s">
        <v>20</v>
      </c>
      <c r="D6" s="6" t="s">
        <v>21</v>
      </c>
      <c r="E6" s="5">
        <v>58000</v>
      </c>
      <c r="F6" s="5">
        <v>2017</v>
      </c>
      <c r="G6" s="8">
        <v>0.15</v>
      </c>
      <c r="H6">
        <f t="shared" si="0"/>
        <v>8700</v>
      </c>
    </row>
    <row r="7" spans="1:8" ht="19.8" thickBot="1" x14ac:dyDescent="0.35">
      <c r="A7" s="3" t="s">
        <v>22</v>
      </c>
      <c r="B7" s="4" t="s">
        <v>23</v>
      </c>
      <c r="C7" s="4" t="s">
        <v>24</v>
      </c>
      <c r="D7" s="4" t="s">
        <v>9</v>
      </c>
      <c r="E7" s="3">
        <v>48000</v>
      </c>
      <c r="F7" s="3">
        <v>2021</v>
      </c>
      <c r="G7" s="8">
        <v>0.09</v>
      </c>
      <c r="H7">
        <f t="shared" si="0"/>
        <v>4320</v>
      </c>
    </row>
    <row r="8" spans="1:8" ht="19.8" thickBot="1" x14ac:dyDescent="0.35">
      <c r="A8" s="5" t="s">
        <v>25</v>
      </c>
      <c r="B8" s="6" t="s">
        <v>26</v>
      </c>
      <c r="C8" s="6" t="s">
        <v>16</v>
      </c>
      <c r="D8" s="6" t="s">
        <v>27</v>
      </c>
      <c r="E8" s="5">
        <v>62000</v>
      </c>
      <c r="F8" s="5">
        <v>2019</v>
      </c>
      <c r="G8" s="8">
        <v>0.12</v>
      </c>
      <c r="H8">
        <f t="shared" si="0"/>
        <v>7440</v>
      </c>
    </row>
    <row r="9" spans="1:8" ht="19.8" thickBot="1" x14ac:dyDescent="0.35">
      <c r="A9" s="3" t="s">
        <v>28</v>
      </c>
      <c r="B9" s="4" t="s">
        <v>29</v>
      </c>
      <c r="C9" s="4" t="s">
        <v>8</v>
      </c>
      <c r="D9" s="4" t="s">
        <v>30</v>
      </c>
      <c r="E9" s="3">
        <v>47000</v>
      </c>
      <c r="F9" s="3">
        <v>2020</v>
      </c>
      <c r="G9" s="8">
        <v>0.1</v>
      </c>
      <c r="H9">
        <f t="shared" si="0"/>
        <v>4700</v>
      </c>
    </row>
    <row r="10" spans="1:8" ht="19.8" thickBot="1" x14ac:dyDescent="0.35">
      <c r="A10" s="5" t="s">
        <v>31</v>
      </c>
      <c r="B10" s="6" t="s">
        <v>32</v>
      </c>
      <c r="C10" s="6" t="s">
        <v>12</v>
      </c>
      <c r="D10" s="6" t="s">
        <v>17</v>
      </c>
      <c r="E10" s="5">
        <v>54000</v>
      </c>
      <c r="F10" s="5">
        <v>2016</v>
      </c>
      <c r="G10" s="8">
        <v>0.08</v>
      </c>
      <c r="H10">
        <f t="shared" si="0"/>
        <v>4320</v>
      </c>
    </row>
    <row r="13" spans="1:8" ht="15" thickBot="1" x14ac:dyDescent="0.35">
      <c r="A13" t="s">
        <v>34</v>
      </c>
    </row>
    <row r="14" spans="1:8" ht="19.8" thickBot="1" x14ac:dyDescent="0.35">
      <c r="A14" s="2" t="s">
        <v>2</v>
      </c>
      <c r="B14" s="1" t="s">
        <v>8</v>
      </c>
      <c r="C14" s="1" t="s">
        <v>12</v>
      </c>
      <c r="D14" s="1" t="s">
        <v>16</v>
      </c>
      <c r="E14" s="1" t="s">
        <v>20</v>
      </c>
      <c r="F14" s="1" t="s">
        <v>24</v>
      </c>
    </row>
    <row r="15" spans="1:8" ht="19.8" thickBot="1" x14ac:dyDescent="0.35">
      <c r="A15" s="4" t="s">
        <v>35</v>
      </c>
      <c r="B15" s="9">
        <v>0.1</v>
      </c>
      <c r="C15" s="9">
        <v>0.08</v>
      </c>
      <c r="D15" s="9">
        <v>0.12</v>
      </c>
      <c r="E15" s="9">
        <v>0.15</v>
      </c>
      <c r="F15" s="9">
        <v>0.09</v>
      </c>
    </row>
    <row r="18" spans="1:2" ht="15" thickBot="1" x14ac:dyDescent="0.35">
      <c r="A18" t="s">
        <v>36</v>
      </c>
    </row>
    <row r="19" spans="1:2" ht="19.8" thickBot="1" x14ac:dyDescent="0.35">
      <c r="A19" s="2" t="s">
        <v>0</v>
      </c>
      <c r="B19" s="2" t="s">
        <v>1</v>
      </c>
    </row>
    <row r="20" spans="1:2" ht="19.8" thickBot="1" x14ac:dyDescent="0.35">
      <c r="A20" s="4" t="s">
        <v>18</v>
      </c>
      <c r="B20" s="4" t="s">
        <v>15</v>
      </c>
    </row>
    <row r="23" spans="1:2" ht="18" x14ac:dyDescent="0.35">
      <c r="A23" s="11" t="s">
        <v>37</v>
      </c>
    </row>
    <row r="24" spans="1:2" x14ac:dyDescent="0.3">
      <c r="A24" t="s">
        <v>38</v>
      </c>
    </row>
    <row r="25" spans="1:2" ht="15" thickBot="1" x14ac:dyDescent="0.35"/>
    <row r="26" spans="1:2" ht="19.8" thickBot="1" x14ac:dyDescent="0.35">
      <c r="A26" s="2" t="s">
        <v>0</v>
      </c>
      <c r="B26" s="2" t="s">
        <v>1</v>
      </c>
    </row>
    <row r="27" spans="1:2" ht="19.8" thickBot="1" x14ac:dyDescent="0.35">
      <c r="A27" s="17" t="s">
        <v>18</v>
      </c>
      <c r="B27" s="4" t="e" cm="1" vm="1">
        <f t="array" aca="1" ref="B27" ca="1">VLOOKUP(A2:A10,B2:B10,2)</f>
        <v>#VALUE!</v>
      </c>
    </row>
    <row r="29" spans="1:2" x14ac:dyDescent="0.3">
      <c r="A29" t="s">
        <v>39</v>
      </c>
    </row>
    <row r="30" spans="1:2" ht="15" thickBot="1" x14ac:dyDescent="0.35"/>
    <row r="31" spans="1:2" ht="19.8" thickBot="1" x14ac:dyDescent="0.35">
      <c r="A31" s="2" t="s">
        <v>0</v>
      </c>
      <c r="B31" s="2" t="s">
        <v>1</v>
      </c>
    </row>
    <row r="32" spans="1:2" ht="19.8" thickBot="1" x14ac:dyDescent="0.35">
      <c r="A32" s="4" t="s">
        <v>14</v>
      </c>
      <c r="B32" s="4" t="str">
        <f>VLOOKUP(A5, A2:F10, 3,)</f>
        <v>IT</v>
      </c>
    </row>
    <row r="34" spans="1:2" x14ac:dyDescent="0.3">
      <c r="A34" t="s">
        <v>40</v>
      </c>
    </row>
    <row r="35" spans="1:2" ht="15" thickBot="1" x14ac:dyDescent="0.35"/>
    <row r="36" spans="1:2" ht="19.8" thickBot="1" x14ac:dyDescent="0.35">
      <c r="A36" s="2" t="s">
        <v>69</v>
      </c>
      <c r="B36" s="2" t="s">
        <v>4</v>
      </c>
    </row>
    <row r="37" spans="1:2" ht="19.8" thickBot="1" x14ac:dyDescent="0.35">
      <c r="A37" s="4" t="s">
        <v>19</v>
      </c>
      <c r="B37" s="4">
        <f>VLOOKUP(A37,B2:E10, 4,0)</f>
        <v>58000</v>
      </c>
    </row>
    <row r="39" spans="1:2" x14ac:dyDescent="0.3">
      <c r="A39" t="s">
        <v>41</v>
      </c>
    </row>
    <row r="40" spans="1:2" ht="15" thickBot="1" x14ac:dyDescent="0.35"/>
    <row r="41" spans="1:2" ht="19.8" thickBot="1" x14ac:dyDescent="0.35">
      <c r="A41" s="2" t="s">
        <v>0</v>
      </c>
      <c r="B41" s="2" t="s">
        <v>1</v>
      </c>
    </row>
    <row r="42" spans="1:2" ht="19.8" thickBot="1" x14ac:dyDescent="0.35">
      <c r="A42" s="4" t="s">
        <v>28</v>
      </c>
      <c r="B42" s="4" t="str">
        <f>VLOOKUP(A9,A2:F10, 4,)</f>
        <v>Hyderabad</v>
      </c>
    </row>
    <row r="44" spans="1:2" x14ac:dyDescent="0.3">
      <c r="A44" t="s">
        <v>42</v>
      </c>
    </row>
    <row r="45" spans="1:2" ht="15" thickBot="1" x14ac:dyDescent="0.35"/>
    <row r="46" spans="1:2" ht="19.8" thickBot="1" x14ac:dyDescent="0.35">
      <c r="A46" s="2" t="s">
        <v>0</v>
      </c>
      <c r="B46" s="2" t="s">
        <v>1</v>
      </c>
    </row>
    <row r="47" spans="1:2" ht="19.8" thickBot="1" x14ac:dyDescent="0.35">
      <c r="A47" s="4" t="s">
        <v>43</v>
      </c>
      <c r="B47" s="4" t="str">
        <f>IFERROR(VLOOKUP(A47,A2:F10, 2, 0), "Not Found")</f>
        <v>Not Found</v>
      </c>
    </row>
    <row r="49" spans="1:14" x14ac:dyDescent="0.3">
      <c r="A49" t="s">
        <v>44</v>
      </c>
    </row>
    <row r="50" spans="1:14" ht="15" thickBot="1" x14ac:dyDescent="0.35"/>
    <row r="51" spans="1:14" ht="19.8" thickBot="1" x14ac:dyDescent="0.35">
      <c r="A51" s="2" t="s">
        <v>0</v>
      </c>
      <c r="B51" s="2" t="s">
        <v>1</v>
      </c>
    </row>
    <row r="52" spans="1:14" ht="19.8" thickBot="1" x14ac:dyDescent="0.35">
      <c r="A52" s="4" t="s">
        <v>6</v>
      </c>
      <c r="B52" s="4">
        <f>VLOOKUP(A52,A2:F10, 6,)</f>
        <v>2019</v>
      </c>
    </row>
    <row r="55" spans="1:14" ht="19.2" x14ac:dyDescent="0.35">
      <c r="A55" s="11"/>
      <c r="G55" s="12"/>
      <c r="H55" s="12"/>
    </row>
    <row r="56" spans="1:14" x14ac:dyDescent="0.3">
      <c r="A56" t="s">
        <v>45</v>
      </c>
      <c r="F56" t="s">
        <v>50</v>
      </c>
      <c r="G56" s="8" t="s">
        <v>6</v>
      </c>
      <c r="H56" t="s">
        <v>10</v>
      </c>
      <c r="I56" t="s">
        <v>14</v>
      </c>
      <c r="J56" t="s">
        <v>18</v>
      </c>
      <c r="K56" t="s">
        <v>22</v>
      </c>
      <c r="L56" t="s">
        <v>25</v>
      </c>
      <c r="M56" t="s">
        <v>28</v>
      </c>
      <c r="N56" t="s">
        <v>31</v>
      </c>
    </row>
    <row r="57" spans="1:14" ht="15" thickBot="1" x14ac:dyDescent="0.35">
      <c r="F57" t="s">
        <v>49</v>
      </c>
      <c r="G57" s="8" t="s">
        <v>8</v>
      </c>
      <c r="H57" t="s">
        <v>12</v>
      </c>
      <c r="I57" t="s">
        <v>16</v>
      </c>
      <c r="J57" t="s">
        <v>20</v>
      </c>
      <c r="K57" t="s">
        <v>24</v>
      </c>
      <c r="L57" t="s">
        <v>16</v>
      </c>
      <c r="M57" t="s">
        <v>8</v>
      </c>
      <c r="N57" t="s">
        <v>12</v>
      </c>
    </row>
    <row r="58" spans="1:14" ht="19.8" thickBot="1" x14ac:dyDescent="0.35">
      <c r="A58" s="2" t="s">
        <v>49</v>
      </c>
      <c r="B58" s="2" t="s">
        <v>51</v>
      </c>
      <c r="F58" t="s">
        <v>35</v>
      </c>
      <c r="G58" s="8">
        <v>0.1</v>
      </c>
      <c r="H58" s="8">
        <v>0.08</v>
      </c>
      <c r="I58" s="8">
        <v>0.12</v>
      </c>
      <c r="J58" s="8">
        <v>0.15</v>
      </c>
      <c r="K58" s="8">
        <v>0.09</v>
      </c>
      <c r="L58" s="8">
        <v>0.12</v>
      </c>
      <c r="M58" s="8">
        <v>0.1</v>
      </c>
      <c r="N58" s="8">
        <v>0.08</v>
      </c>
    </row>
    <row r="59" spans="1:14" ht="19.8" thickBot="1" x14ac:dyDescent="0.35">
      <c r="A59" s="4" t="s">
        <v>16</v>
      </c>
      <c r="B59" s="13">
        <f>HLOOKUP(A59,F57:N58,2,0)</f>
        <v>0.12</v>
      </c>
      <c r="F59" t="s">
        <v>48</v>
      </c>
      <c r="G59">
        <v>4500</v>
      </c>
      <c r="H59">
        <v>4160</v>
      </c>
      <c r="I59">
        <v>7800</v>
      </c>
      <c r="J59">
        <v>8700</v>
      </c>
      <c r="K59">
        <v>4320</v>
      </c>
      <c r="L59">
        <v>7440</v>
      </c>
      <c r="M59">
        <v>4700</v>
      </c>
      <c r="N59">
        <v>4320</v>
      </c>
    </row>
    <row r="60" spans="1:14" x14ac:dyDescent="0.3">
      <c r="G60" s="8"/>
    </row>
    <row r="61" spans="1:14" x14ac:dyDescent="0.3">
      <c r="G61" s="8"/>
    </row>
    <row r="62" spans="1:14" ht="38.4" x14ac:dyDescent="0.3">
      <c r="A62" s="10" t="s">
        <v>52</v>
      </c>
      <c r="G62" s="8"/>
    </row>
    <row r="63" spans="1:14" x14ac:dyDescent="0.3">
      <c r="A63" t="s">
        <v>53</v>
      </c>
      <c r="G63" s="8"/>
    </row>
    <row r="64" spans="1:14" ht="15" thickBot="1" x14ac:dyDescent="0.35"/>
    <row r="65" spans="1:2" ht="19.8" thickBot="1" x14ac:dyDescent="0.35">
      <c r="A65" s="2" t="s">
        <v>49</v>
      </c>
      <c r="B65" s="2" t="s">
        <v>51</v>
      </c>
    </row>
    <row r="66" spans="1:2" ht="19.8" thickBot="1" x14ac:dyDescent="0.35">
      <c r="A66" s="4" t="s">
        <v>20</v>
      </c>
      <c r="B66" s="13">
        <f>HLOOKUP(A66, F57:N58,2,)</f>
        <v>0.15</v>
      </c>
    </row>
    <row r="69" spans="1:2" ht="75" customHeight="1" x14ac:dyDescent="0.3">
      <c r="A69" s="14" t="s">
        <v>54</v>
      </c>
    </row>
    <row r="70" spans="1:2" ht="15" thickBot="1" x14ac:dyDescent="0.35"/>
    <row r="71" spans="1:2" ht="19.8" thickBot="1" x14ac:dyDescent="0.35">
      <c r="A71" s="2" t="s">
        <v>55</v>
      </c>
      <c r="B71" s="2" t="s">
        <v>70</v>
      </c>
    </row>
    <row r="72" spans="1:2" ht="19.8" thickBot="1" x14ac:dyDescent="0.35">
      <c r="A72" s="4" t="s">
        <v>18</v>
      </c>
      <c r="B72" s="15">
        <f>[1]Sheet1!$L$58</f>
        <v>0</v>
      </c>
    </row>
    <row r="75" spans="1:2" x14ac:dyDescent="0.3">
      <c r="A75" t="s">
        <v>56</v>
      </c>
    </row>
    <row r="76" spans="1:2" ht="15" thickBot="1" x14ac:dyDescent="0.35"/>
    <row r="77" spans="1:2" ht="19.8" thickBot="1" x14ac:dyDescent="0.35">
      <c r="A77" s="2" t="s">
        <v>49</v>
      </c>
      <c r="B77" s="2" t="s">
        <v>48</v>
      </c>
    </row>
    <row r="78" spans="1:2" ht="19.8" thickBot="1" x14ac:dyDescent="0.35">
      <c r="A78" s="4" t="s">
        <v>57</v>
      </c>
      <c r="B78" s="15" t="str">
        <f>IFERROR(HLOOKUP(A78, F56:N59, 4,0), "Not Found")</f>
        <v>Not Found</v>
      </c>
    </row>
    <row r="81" spans="1:2" ht="18" x14ac:dyDescent="0.35">
      <c r="A81" s="16" t="s">
        <v>58</v>
      </c>
    </row>
    <row r="83" spans="1:2" x14ac:dyDescent="0.3">
      <c r="A83" t="s">
        <v>59</v>
      </c>
    </row>
    <row r="84" spans="1:2" ht="15" thickBot="1" x14ac:dyDescent="0.35"/>
    <row r="85" spans="1:2" ht="19.8" thickBot="1" x14ac:dyDescent="0.35">
      <c r="A85" s="2" t="s">
        <v>60</v>
      </c>
      <c r="B85" s="2" t="s">
        <v>4</v>
      </c>
    </row>
    <row r="86" spans="1:2" ht="19.8" thickBot="1" x14ac:dyDescent="0.35">
      <c r="A86" s="4" t="s">
        <v>22</v>
      </c>
      <c r="B86" s="15">
        <f>_xlfn.XLOOKUP(A86, A2:A10, E2:E10)</f>
        <v>48000</v>
      </c>
    </row>
    <row r="88" spans="1:2" x14ac:dyDescent="0.3">
      <c r="A88" t="s">
        <v>61</v>
      </c>
    </row>
    <row r="89" spans="1:2" ht="15" thickBot="1" x14ac:dyDescent="0.35"/>
    <row r="90" spans="1:2" ht="19.8" thickBot="1" x14ac:dyDescent="0.35">
      <c r="A90" s="2" t="s">
        <v>49</v>
      </c>
      <c r="B90" s="2" t="s">
        <v>62</v>
      </c>
    </row>
    <row r="91" spans="1:2" ht="19.8" thickBot="1" x14ac:dyDescent="0.35">
      <c r="A91" s="4" t="s">
        <v>20</v>
      </c>
      <c r="B91" s="15" t="str">
        <f>_xlfn.XLOOKUP(A91, C2:C10, B2:B10)</f>
        <v>Neha Singh</v>
      </c>
    </row>
    <row r="93" spans="1:2" x14ac:dyDescent="0.3">
      <c r="A93" t="s">
        <v>63</v>
      </c>
    </row>
    <row r="94" spans="1:2" ht="15" thickBot="1" x14ac:dyDescent="0.35"/>
    <row r="95" spans="1:2" ht="19.8" thickBot="1" x14ac:dyDescent="0.35">
      <c r="A95" s="2" t="s">
        <v>3</v>
      </c>
      <c r="B95" s="2" t="s">
        <v>62</v>
      </c>
    </row>
    <row r="96" spans="1:2" ht="19.8" thickBot="1" x14ac:dyDescent="0.35">
      <c r="A96" s="4" t="s">
        <v>13</v>
      </c>
      <c r="B96" s="15" t="str">
        <f>_xlfn.XLOOKUP(A96, D2:D10, B2:B10)</f>
        <v>Ananya Gupta</v>
      </c>
    </row>
    <row r="98" spans="1:2" x14ac:dyDescent="0.3">
      <c r="A98" t="s">
        <v>64</v>
      </c>
    </row>
    <row r="99" spans="1:2" ht="15" thickBot="1" x14ac:dyDescent="0.35"/>
    <row r="100" spans="1:2" ht="19.8" thickBot="1" x14ac:dyDescent="0.35">
      <c r="A100" s="2" t="s">
        <v>65</v>
      </c>
      <c r="B100" s="2" t="s">
        <v>62</v>
      </c>
    </row>
    <row r="101" spans="1:2" ht="19.8" thickBot="1" x14ac:dyDescent="0.35">
      <c r="A101" s="4" t="s">
        <v>66</v>
      </c>
      <c r="B101" s="15" t="str">
        <f>_xlfn.XLOOKUP("E999",A2:A10, B2:B10, "Employee Not Found")</f>
        <v>Employee Not Found</v>
      </c>
    </row>
    <row r="103" spans="1:2" x14ac:dyDescent="0.3">
      <c r="A103" t="s">
        <v>67</v>
      </c>
    </row>
    <row r="104" spans="1:2" ht="15" thickBot="1" x14ac:dyDescent="0.35"/>
    <row r="105" spans="1:2" ht="19.8" thickBot="1" x14ac:dyDescent="0.35">
      <c r="A105" s="2" t="s">
        <v>51</v>
      </c>
      <c r="B105" s="2" t="s">
        <v>68</v>
      </c>
    </row>
    <row r="106" spans="1:2" ht="19.8" thickBot="1" x14ac:dyDescent="0.35">
      <c r="A106" s="13">
        <v>0.15</v>
      </c>
      <c r="B106" s="15" t="str">
        <f>_xlfn.XLOOKUP(A106, G2:G10,C2:C10)</f>
        <v>Finance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D17D-717F-4850-8142-44815250C53C}">
  <dimension ref="A1"/>
  <sheetViews>
    <sheetView workbookViewId="0"/>
  </sheetViews>
  <sheetFormatPr defaultRowHeight="14.4" x14ac:dyDescent="0.3"/>
  <sheetData>
    <row r="1" spans="1:1" x14ac:dyDescent="0.3">
      <c r="A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Deep Barot</cp:lastModifiedBy>
  <dcterms:created xsi:type="dcterms:W3CDTF">2026-06-29T08:42:04Z</dcterms:created>
  <dcterms:modified xsi:type="dcterms:W3CDTF">2026-07-17T05:13:25Z</dcterms:modified>
</cp:coreProperties>
</file>