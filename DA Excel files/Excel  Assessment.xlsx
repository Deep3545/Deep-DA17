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epd\OneDrive\Desktop\DA Excel files\"/>
    </mc:Choice>
  </mc:AlternateContent>
  <xr:revisionPtr revIDLastSave="0" documentId="8_{A0270B65-1F1F-4708-AAA7-494C2C375916}" xr6:coauthVersionLast="47" xr6:coauthVersionMax="47" xr10:uidLastSave="{00000000-0000-0000-0000-000000000000}"/>
  <bookViews>
    <workbookView xWindow="-108" yWindow="-108" windowWidth="23256" windowHeight="12456" xr2:uid="{1A80B794-78B4-4D67-8E43-C034512DB175}"/>
  </bookViews>
  <sheets>
    <sheet name="Sheet1" sheetId="1" r:id="rId1"/>
  </sheets>
  <definedNames>
    <definedName name="_xlnm._FilterDatabase" localSheetId="0" hidden="1">Sheet1!$A$223:$B$229</definedName>
  </definedNames>
  <calcPr calcId="191029"/>
  <pivotCaches>
    <pivotCache cacheId="0" r:id="rId2"/>
    <pivotCache cacheId="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01" i="1" l="1"/>
  <c r="T100" i="1"/>
  <c r="V100" i="1" s="1"/>
  <c r="T99" i="1"/>
  <c r="T98" i="1"/>
  <c r="V98" i="1" s="1"/>
  <c r="T97" i="1"/>
  <c r="T96" i="1"/>
  <c r="H100" i="1"/>
  <c r="H101" i="1"/>
  <c r="H102" i="1"/>
  <c r="J119" i="1"/>
  <c r="H27" i="1"/>
  <c r="K8" i="1"/>
  <c r="K9" i="1"/>
  <c r="L9" i="1" s="1"/>
  <c r="I265" i="1"/>
  <c r="I264" i="1"/>
  <c r="I263" i="1"/>
  <c r="I262" i="1"/>
  <c r="I261" i="1"/>
  <c r="I260" i="1"/>
  <c r="C46" i="1"/>
  <c r="B238" i="1" a="1"/>
  <c r="B238" i="1" s="1"/>
  <c r="B234" i="1"/>
  <c r="A210" i="1"/>
  <c r="A206" i="1"/>
  <c r="A201" i="1"/>
  <c r="A197" i="1"/>
  <c r="H103" i="1"/>
  <c r="H104" i="1"/>
  <c r="I130" i="1"/>
  <c r="I131" i="1"/>
  <c r="I132" i="1"/>
  <c r="I133" i="1"/>
  <c r="I129" i="1"/>
  <c r="H133" i="1"/>
  <c r="H132" i="1"/>
  <c r="H131" i="1"/>
  <c r="H130" i="1"/>
  <c r="H129" i="1"/>
  <c r="E81" i="1"/>
  <c r="I86" i="1"/>
  <c r="H124" i="1"/>
  <c r="H123" i="1"/>
  <c r="H122" i="1"/>
  <c r="H121" i="1"/>
  <c r="H120" i="1"/>
  <c r="K110" i="1"/>
  <c r="I91" i="1"/>
  <c r="H115" i="1"/>
  <c r="H114" i="1"/>
  <c r="H113" i="1"/>
  <c r="H112" i="1"/>
  <c r="H111" i="1"/>
  <c r="I87" i="1"/>
  <c r="I88" i="1"/>
  <c r="I89" i="1"/>
  <c r="I90" i="1"/>
  <c r="D64" i="1"/>
  <c r="D65" i="1"/>
  <c r="D66" i="1"/>
  <c r="D67" i="1"/>
  <c r="D68" i="1"/>
  <c r="D63" i="1"/>
  <c r="C47" i="1"/>
  <c r="C48" i="1"/>
  <c r="C49" i="1"/>
  <c r="I5" i="1"/>
  <c r="E80" i="1" s="1"/>
  <c r="I6" i="1"/>
  <c r="K6" i="1" s="1"/>
  <c r="I7" i="1"/>
  <c r="K7" i="1" s="1"/>
  <c r="I8" i="1"/>
  <c r="L8" i="1" s="1"/>
  <c r="I9" i="1"/>
  <c r="I4" i="1"/>
  <c r="W100" i="1" l="1"/>
  <c r="V99" i="1"/>
  <c r="W101" i="1" s="1"/>
  <c r="V96" i="1"/>
  <c r="W96" i="1" s="1"/>
  <c r="W99" i="1"/>
  <c r="V97" i="1"/>
  <c r="W98" i="1" s="1"/>
  <c r="V101" i="1"/>
  <c r="W97" i="1" s="1"/>
  <c r="D16" i="1"/>
  <c r="D23" i="1"/>
  <c r="K4" i="1"/>
  <c r="L7" i="1"/>
  <c r="L6" i="1"/>
  <c r="K5" i="1"/>
  <c r="L5" i="1" s="1"/>
  <c r="D22" i="1" l="1"/>
  <c r="D15" i="1"/>
  <c r="D14" i="1"/>
  <c r="D21" i="1"/>
  <c r="L4" i="1"/>
  <c r="L1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<sst xmlns="http://schemas.openxmlformats.org/spreadsheetml/2006/main" count="479" uniqueCount="105">
  <si>
    <t>1. Calculate Total Sales for each order (Quantity × Unit_Price).</t>
  </si>
  <si>
    <t>North</t>
  </si>
  <si>
    <t>Amit</t>
  </si>
  <si>
    <t>Laptop</t>
  </si>
  <si>
    <t>05-01-2025</t>
  </si>
  <si>
    <t>South</t>
  </si>
  <si>
    <t>Riya</t>
  </si>
  <si>
    <t>Mobile</t>
  </si>
  <si>
    <t>07-01-2025</t>
  </si>
  <si>
    <t>East</t>
  </si>
  <si>
    <t>Kunal</t>
  </si>
  <si>
    <t>Tablet</t>
  </si>
  <si>
    <t>10-01-2025</t>
  </si>
  <si>
    <t>West</t>
  </si>
  <si>
    <t>Neha</t>
  </si>
  <si>
    <t>12-01-2025</t>
  </si>
  <si>
    <t>15-01-2025</t>
  </si>
  <si>
    <t>18-01-2025</t>
  </si>
  <si>
    <t>Order_ID</t>
  </si>
  <si>
    <t>Region</t>
  </si>
  <si>
    <t>Salesperson</t>
  </si>
  <si>
    <t>Product</t>
  </si>
  <si>
    <t>Quantity</t>
  </si>
  <si>
    <t>Unit_Price</t>
  </si>
  <si>
    <t>Sales_Date</t>
  </si>
  <si>
    <t>Total Sales</t>
  </si>
  <si>
    <t>2. Calculate GST Amount using VLOOKUP from Product_Master.</t>
  </si>
  <si>
    <t>Category</t>
  </si>
  <si>
    <t>GST_%</t>
  </si>
  <si>
    <t>Electronics</t>
  </si>
  <si>
    <t>GST Amount</t>
  </si>
  <si>
    <t>3. Find Final Amount payable (Total Sales + GST).</t>
  </si>
  <si>
    <t>Final Payable Amount</t>
  </si>
  <si>
    <t>4. Find Grand Total of Final Amount.</t>
  </si>
  <si>
    <t>Final Amount</t>
  </si>
  <si>
    <t>5. Count total number of orders using COUNTA.</t>
  </si>
  <si>
    <t>6. Find Region-wise total sales using SUMIF.</t>
  </si>
  <si>
    <t>Region-wise Total Sales</t>
  </si>
  <si>
    <t xml:space="preserve">South </t>
  </si>
  <si>
    <t xml:space="preserve">East </t>
  </si>
  <si>
    <t>7. Use IF to classify Quantity as High (&gt;3) or Low (&lt;=3).</t>
  </si>
  <si>
    <t>8. Find the maximum and minimum Final Amount.</t>
  </si>
  <si>
    <t>Max Amt</t>
  </si>
  <si>
    <t>Min Amt</t>
  </si>
  <si>
    <t>9. Extract month name from Sales_Date.</t>
  </si>
  <si>
    <t>Month name</t>
  </si>
  <si>
    <t>10. Sort Sales_Data by Final Amount (Descending).</t>
  </si>
  <si>
    <t>12. Calculate average marks of each student.</t>
  </si>
  <si>
    <t>Student_ID</t>
  </si>
  <si>
    <t>Name</t>
  </si>
  <si>
    <t>Maths</t>
  </si>
  <si>
    <t>Statistics</t>
  </si>
  <si>
    <t>Excel</t>
  </si>
  <si>
    <t>Attendance_%</t>
  </si>
  <si>
    <t>Rahul</t>
  </si>
  <si>
    <t>Sneha</t>
  </si>
  <si>
    <t>Arjun</t>
  </si>
  <si>
    <t>Pooja</t>
  </si>
  <si>
    <t>Vikas</t>
  </si>
  <si>
    <t>Avg Marks</t>
  </si>
  <si>
    <t>13. Find the topper based on average marks.</t>
  </si>
  <si>
    <t>14. Count students with Attendance above 90%.</t>
  </si>
  <si>
    <t>Student with above 90% Attendance</t>
  </si>
  <si>
    <t>15. Use IF to classify students as Eligible (Attendance &gt;= 85%).</t>
  </si>
  <si>
    <t>Total orders</t>
  </si>
  <si>
    <t>Elgibilty</t>
  </si>
  <si>
    <t>16. Create a Pivot Table showing Product-wise Total Sales.</t>
  </si>
  <si>
    <t>Row Labels</t>
  </si>
  <si>
    <t>Grand Total</t>
  </si>
  <si>
    <t>Sum of Total Sales</t>
  </si>
  <si>
    <t>17. Create a Pivot Table showing Region-wise Total Sales.</t>
  </si>
  <si>
    <t>18. Insert a Pivot Chart for Product-wise Sales.</t>
  </si>
  <si>
    <t>19. Create a Bar Chart for Student Excel marks.</t>
  </si>
  <si>
    <t>Sum of Excel</t>
  </si>
  <si>
    <t>Sum of Maths</t>
  </si>
  <si>
    <t>Sum of Statistics</t>
  </si>
  <si>
    <t>20. Find Median of Statistics marks.</t>
  </si>
  <si>
    <t>Median of Staticts</t>
  </si>
  <si>
    <t>21. Find Standard Deviation of Excel marks.</t>
  </si>
  <si>
    <t>Standard Deviation</t>
  </si>
  <si>
    <t>22. Use CONCAT to combine Student_ID and Name.</t>
  </si>
  <si>
    <t>23. Use LEFT function to extract first 2 letters of Salesperson name.</t>
  </si>
  <si>
    <t>24. Apply Conditional Formatting to highlight Final Amount &gt; 60000.</t>
  </si>
  <si>
    <t>25. Filter orders where Product is Laptop and Quantity &gt; 1.</t>
  </si>
  <si>
    <t>26. Use COUNTIFS to count Laptop orders in North region.</t>
  </si>
  <si>
    <t>27. Use ROUND to round Unit_Price to nearest thousand.</t>
  </si>
  <si>
    <t>28. Remove duplicate records if present.</t>
  </si>
  <si>
    <t>29. Freeze top row in Sales_Data sheet.</t>
  </si>
  <si>
    <t>30. Protect the Student_Marks sheet.</t>
  </si>
  <si>
    <t>GST%</t>
  </si>
  <si>
    <t>Total Amount</t>
  </si>
  <si>
    <t>Column1</t>
  </si>
  <si>
    <t>Answer: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</si>
  <si>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</si>
  <si>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</si>
  <si>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</si>
  <si>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</si>
  <si>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</si>
  <si>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</si>
  <si>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</si>
  <si>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</si>
  <si>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Total Final Amount</t>
  </si>
  <si>
    <t>Column10</t>
  </si>
  <si>
    <t>Column11</t>
  </si>
  <si>
    <t>Column12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</si>
</sst>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4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1" applyFont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9" fontId="0" fillId="0" borderId="2" xfId="1" applyFont="1" applyBorder="1"/>
    <xf numFmtId="9" fontId="0" fillId="2" borderId="2" xfId="1" applyFont="1" applyFill="1" applyBorder="1"/>
  </cellXfs>
  <cellStyles count="2">
    <cellStyle name="Normal" xfId="0" builtinId="0"/>
    <cellStyle name="Percent" xfId="1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2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 Assessment.xlsx]Sheet1!PivotTable4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wise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Sheet1!$C$141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Sheet1!$B$142:$B$145</c:f>
              <c:strCache>
                <c:ptCount val="3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Sheet1!$C$142:$C$145</c:f>
              <c:numCache>
                <c:formatCode>General</c:formatCode>
                <c:ptCount val="3"/>
                <c:pt idx="0">
                  <c:v>225000</c:v>
                </c:pt>
                <c:pt idx="1">
                  <c:v>135000</c:v>
                </c:pt>
                <c:pt idx="2">
                  <c:v>54000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6E-4E62-BFAB-B75279780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75057856"/>
        <c:axId val="1186890000"/>
      </c:barChart>
      <c:catAx>
        <c:axId val="1275057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890000"/>
        <c:crosses val="autoZero"/>
        <c:auto val="1"/>
        <c:lblAlgn val="ctr"/>
        <c:lblOffset val="100"/>
        <c:noMultiLvlLbl val="0"/>
      </c:catAx>
      <c:valAx>
        <c:axId val="1186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05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 Assessment.xlsx]Sheet1!PivotTable7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Sheet1!$B$171</c:f>
              <c:strCache>
                <c:ptCount val="1"/>
                <c:pt idx="0">
                  <c:v>Sum of Excel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Sheet1!$A$172:$A$177</c:f>
              <c:strCache>
                <c:ptCount val="5"/>
                <c:pt idx="0">
                  <c:v>Arjun</c:v>
                </c:pt>
                <c:pt idx="1">
                  <c:v>Pooja</c:v>
                </c:pt>
                <c:pt idx="2">
                  <c:v>Rahul</c:v>
                </c:pt>
                <c:pt idx="3">
                  <c:v>Sneha</c:v>
                </c:pt>
                <c:pt idx="4">
                  <c:v>Vikas</c:v>
                </c:pt>
              </c:strCache>
            </c:strRef>
          </c:cat>
          <c:val>
            <c:numRef>
              <c:f>Sheet1!$B$172:$B$177</c:f>
              <c:numCache>
                <c:formatCode>General</c:formatCode>
                <c:ptCount val="5"/>
                <c:pt idx="0">
                  <c:v>72</c:v>
                </c:pt>
                <c:pt idx="1">
                  <c:v>94</c:v>
                </c:pt>
                <c:pt idx="2">
                  <c:v>85</c:v>
                </c:pt>
                <c:pt idx="3">
                  <c:v>90</c:v>
                </c:pt>
                <c:pt idx="4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C3-4755-BE2E-4D500C720100}"/>
            </c:ext>
          </c:extLst>
        </c:ser>
        <c:ser>
          <c:idx val="1"/>
          <c:order val="1"/>
          <c:tx>
            <c:strRef>
              <c:f>Sheet1!$C$171</c:f>
              <c:strCache>
                <c:ptCount val="1"/>
                <c:pt idx="0">
                  <c:v>Sum of Maths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Sheet1!$A$172:$A$177</c:f>
              <c:strCache>
                <c:ptCount val="5"/>
                <c:pt idx="0">
                  <c:v>Arjun</c:v>
                </c:pt>
                <c:pt idx="1">
                  <c:v>Pooja</c:v>
                </c:pt>
                <c:pt idx="2">
                  <c:v>Rahul</c:v>
                </c:pt>
                <c:pt idx="3">
                  <c:v>Sneha</c:v>
                </c:pt>
                <c:pt idx="4">
                  <c:v>Vikas</c:v>
                </c:pt>
              </c:strCache>
            </c:strRef>
          </c:cat>
          <c:val>
            <c:numRef>
              <c:f>Sheet1!$C$172:$C$177</c:f>
              <c:numCache>
                <c:formatCode>General</c:formatCode>
                <c:ptCount val="5"/>
                <c:pt idx="0">
                  <c:v>65</c:v>
                </c:pt>
                <c:pt idx="1">
                  <c:v>92</c:v>
                </c:pt>
                <c:pt idx="2">
                  <c:v>78</c:v>
                </c:pt>
                <c:pt idx="3">
                  <c:v>88</c:v>
                </c:pt>
                <c:pt idx="4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C3-4755-BE2E-4D500C720100}"/>
            </c:ext>
          </c:extLst>
        </c:ser>
        <c:ser>
          <c:idx val="2"/>
          <c:order val="2"/>
          <c:tx>
            <c:strRef>
              <c:f>Sheet1!$D$171</c:f>
              <c:strCache>
                <c:ptCount val="1"/>
                <c:pt idx="0">
                  <c:v>Sum of Statistics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Sheet1!$A$172:$A$177</c:f>
              <c:strCache>
                <c:ptCount val="5"/>
                <c:pt idx="0">
                  <c:v>Arjun</c:v>
                </c:pt>
                <c:pt idx="1">
                  <c:v>Pooja</c:v>
                </c:pt>
                <c:pt idx="2">
                  <c:v>Rahul</c:v>
                </c:pt>
                <c:pt idx="3">
                  <c:v>Sneha</c:v>
                </c:pt>
                <c:pt idx="4">
                  <c:v>Vikas</c:v>
                </c:pt>
              </c:strCache>
            </c:strRef>
          </c:cat>
          <c:val>
            <c:numRef>
              <c:f>Sheet1!$D$172:$D$177</c:f>
              <c:numCache>
                <c:formatCode>General</c:formatCode>
                <c:ptCount val="5"/>
                <c:pt idx="0">
                  <c:v>70</c:v>
                </c:pt>
                <c:pt idx="1">
                  <c:v>89</c:v>
                </c:pt>
                <c:pt idx="2">
                  <c:v>82</c:v>
                </c:pt>
                <c:pt idx="3">
                  <c:v>91</c:v>
                </c:pt>
                <c:pt idx="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C3-4755-BE2E-4D500C7201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88540512"/>
        <c:axId val="1186909200"/>
      </c:barChart>
      <c:catAx>
        <c:axId val="12885405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909200"/>
        <c:crosses val="autoZero"/>
        <c:auto val="1"/>
        <c:lblAlgn val="ctr"/>
        <c:lblOffset val="100"/>
        <c:noMultiLvlLbl val="0"/>
      </c:catAx>
      <c:valAx>
        <c:axId val="1186909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540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156</xdr:row>
      <xdr:rowOff>128587</xdr:rowOff>
    </xdr:from>
    <xdr:to>
      <xdr:col>4</xdr:col>
      <xdr:colOff>247650</xdr:colOff>
      <xdr:row>166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A216C7-3063-E643-8999-CC2C8CC9E6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177</xdr:row>
      <xdr:rowOff>119062</xdr:rowOff>
    </xdr:from>
    <xdr:to>
      <xdr:col>4</xdr:col>
      <xdr:colOff>542925</xdr:colOff>
      <xdr:row>192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11ECBA-1933-BEE4-7346-5889D04577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rary2" refreshedDate="46210.686201851851" createdVersion="8" refreshedVersion="8" minRefreshableVersion="3" recordCount="6" xr:uid="{9D148D38-5F22-4868-9CB5-3AF5E3C49BDA}">
  <cacheSource type="worksheet">
    <worksheetSource ref="A3:I9" sheet="Sheet1"/>
  </cacheSource>
  <cacheFields count="9">
    <cacheField name="Order_ID" numFmtId="0">
      <sharedItems containsSemiMixedTypes="0" containsString="0" containsNumber="1" containsInteger="1" minValue="301" maxValue="306"/>
    </cacheField>
    <cacheField name="Region" numFmtId="0">
      <sharedItems count="4">
        <s v="North"/>
        <s v="South"/>
        <s v="East"/>
        <s v="West"/>
      </sharedItems>
    </cacheField>
    <cacheField name="Salesperson" numFmtId="0">
      <sharedItems/>
    </cacheField>
    <cacheField name="Product" numFmtId="0">
      <sharedItems count="3">
        <s v="Laptop"/>
        <s v="Mobile"/>
        <s v="Tablet"/>
      </sharedItems>
    </cacheField>
    <cacheField name="Quantity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containsInteger="1" minValue="15000" maxValue="45000"/>
    </cacheField>
    <cacheField name="Sales_Date" numFmtId="0">
      <sharedItems/>
    </cacheField>
    <cacheField name="Field8" caption="Field8" numFmtId="0">
      <sharedItems containsNonDate="0" containsString="0" containsBlank="1"/>
    </cacheField>
    <cacheField name="Total Sales" numFmtId="0">
      <sharedItems containsSemiMixedTypes="0" containsString="0" containsNumber="1" containsInteger="1" minValue="45000" maxValue="9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rary2" refreshedDate="46210.689422106479" createdVersion="8" refreshedVersion="8" minRefreshableVersion="3" recordCount="5" xr:uid="{6B23AB15-9E17-46EA-8E73-AA4BC1A9D482}">
  <cacheSource type="worksheet">
    <worksheetSource ref="A128:F133" sheet="Sheet1"/>
  </cacheSource>
  <cacheFields count="6">
    <cacheField name="Student_ID" numFmtId="0">
      <sharedItems containsSemiMixedTypes="0" containsString="0" containsNumber="1" containsInteger="1" minValue="1" maxValue="5"/>
    </cacheField>
    <cacheField name="Name" numFmtId="0">
      <sharedItems count="5">
        <s v="Rahul"/>
        <s v="Sneha"/>
        <s v="Arjun"/>
        <s v="Pooja"/>
        <s v="Vikas"/>
      </sharedItems>
    </cacheField>
    <cacheField name="Maths" numFmtId="0">
      <sharedItems containsSemiMixedTypes="0" containsString="0" containsNumber="1" containsInteger="1" minValue="55" maxValue="92"/>
    </cacheField>
    <cacheField name="Statistics" numFmtId="0">
      <sharedItems containsSemiMixedTypes="0" containsString="0" containsNumber="1" containsInteger="1" minValue="60" maxValue="91"/>
    </cacheField>
    <cacheField name="Excel" numFmtId="0">
      <sharedItems containsSemiMixedTypes="0" containsString="0" containsNumber="1" containsInteger="1" minValue="58" maxValue="94"/>
    </cacheField>
    <cacheField name="Attendance_%" numFmtId="0">
      <sharedItems containsSemiMixedTypes="0" containsString="0" containsNumber="1" containsInteger="1" minValue="80" maxValue="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301"/>
    <x v="0"/>
    <s v="Amit"/>
    <x v="0"/>
    <n v="2"/>
    <n v="45000"/>
    <s v="05-01-2025"/>
    <m/>
    <n v="90000"/>
  </r>
  <r>
    <n v="302"/>
    <x v="1"/>
    <s v="Riya"/>
    <x v="1"/>
    <n v="5"/>
    <n v="15000"/>
    <s v="07-01-2025"/>
    <m/>
    <n v="75000"/>
  </r>
  <r>
    <n v="303"/>
    <x v="2"/>
    <s v="Kunal"/>
    <x v="2"/>
    <n v="3"/>
    <n v="18000"/>
    <s v="10-01-2025"/>
    <m/>
    <n v="54000"/>
  </r>
  <r>
    <n v="304"/>
    <x v="3"/>
    <s v="Neha"/>
    <x v="0"/>
    <n v="1"/>
    <n v="45000"/>
    <s v="12-01-2025"/>
    <m/>
    <n v="45000"/>
  </r>
  <r>
    <n v="305"/>
    <x v="0"/>
    <s v="Amit"/>
    <x v="1"/>
    <n v="4"/>
    <n v="15000"/>
    <s v="15-01-2025"/>
    <m/>
    <n v="60000"/>
  </r>
  <r>
    <n v="306"/>
    <x v="1"/>
    <s v="Riya"/>
    <x v="0"/>
    <n v="2"/>
    <n v="45000"/>
    <s v="18-01-2025"/>
    <m/>
    <n v="90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1"/>
    <x v="0"/>
    <n v="78"/>
    <n v="82"/>
    <n v="85"/>
    <n v="92"/>
  </r>
  <r>
    <n v="2"/>
    <x v="1"/>
    <n v="88"/>
    <n v="91"/>
    <n v="90"/>
    <n v="96"/>
  </r>
  <r>
    <n v="3"/>
    <x v="2"/>
    <n v="65"/>
    <n v="70"/>
    <n v="72"/>
    <n v="85"/>
  </r>
  <r>
    <n v="4"/>
    <x v="3"/>
    <n v="92"/>
    <n v="89"/>
    <n v="94"/>
    <n v="98"/>
  </r>
  <r>
    <n v="5"/>
    <x v="4"/>
    <n v="55"/>
    <n v="60"/>
    <n v="58"/>
    <n v="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E1BA2B-F922-46FC-AEA5-BDEF25BB8CB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B141:C145" firstHeaderRow="1" firstDataRow="1" firstDataCol="1"/>
  <pivotFields count="9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ales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A90B73-C95F-4DE7-9F35-7DB8C80AEB49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71:D177" firstHeaderRow="0" firstDataRow="1" firstDataCol="1"/>
  <pivotFields count="6">
    <pivotField showAll="0"/>
    <pivotField axis="axisRow" showAll="0">
      <items count="6">
        <item x="2"/>
        <item x="3"/>
        <item x="0"/>
        <item x="1"/>
        <item x="4"/>
        <item t="default"/>
      </items>
    </pivotField>
    <pivotField dataField="1" showAll="0"/>
    <pivotField dataField="1" showAll="0"/>
    <pivotField dataField="1"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Excel" fld="4" baseField="0" baseItem="0"/>
    <dataField name="Sum of Maths" fld="2" baseField="0" baseItem="0"/>
    <dataField name="Sum of Statistics" fld="3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AA7282-B535-4D90-AD68-946C37385961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39:M145" firstHeaderRow="0" firstDataRow="1" firstDataCol="1"/>
  <pivotFields count="6">
    <pivotField showAll="0"/>
    <pivotField axis="axisRow" showAll="0">
      <items count="6">
        <item x="2"/>
        <item x="3"/>
        <item x="0"/>
        <item x="1"/>
        <item x="4"/>
        <item t="default"/>
      </items>
    </pivotField>
    <pivotField dataField="1" showAll="0"/>
    <pivotField dataField="1" showAll="0"/>
    <pivotField dataField="1"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Excel" fld="4" baseField="0" baseItem="0"/>
    <dataField name="Sum of Maths" fld="2" baseField="0" baseItem="0"/>
    <dataField name="Sum of Statistic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BDB1CF-36AD-45BF-98B0-15D2C20F91F6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49:C154" firstHeaderRow="1" firstDataRow="1" firstDataCol="1"/>
  <pivotFields count="9"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3918C1-C9EA-4875-A5FA-E29158BA3F4D}" name="Table2" displayName="Table2" ref="A13:D16" totalsRowShown="0">
  <autoFilter ref="A13:D16" xr:uid="{D73918C1-C9EA-4875-A5FA-E29158BA3F4D}"/>
  <tableColumns count="4">
    <tableColumn id="1" xr3:uid="{DE1B467F-0236-4F69-AA94-E6C8460AAC7B}" name="Product"/>
    <tableColumn id="2" xr3:uid="{FC687FC1-295F-4831-95C8-329F2A7866B7}" name="Category"/>
    <tableColumn id="3" xr3:uid="{D7F803C8-C8BD-4516-87F4-3BC1DCC69427}" name="GST_%"/>
    <tableColumn id="4" xr3:uid="{5AA413D7-9082-4C63-8060-D1261C1B7352}" name="GST Amount">
      <calculatedColumnFormula>VLOOKUP(A14,D3:K9,8,0)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5266D2F-E3AE-40CE-A53B-5422BAB79F24}" name="Table3" displayName="Table3" ref="A20:D23" totalsRowShown="0">
  <autoFilter ref="A20:D23" xr:uid="{B5266D2F-E3AE-40CE-A53B-5422BAB79F24}"/>
  <tableColumns count="4">
    <tableColumn id="1" xr3:uid="{B82D34DB-B8F0-4860-BD09-ED4631305D84}" name="Product"/>
    <tableColumn id="2" xr3:uid="{23CC7F9C-3546-45FC-9F9A-4947155AD30D}" name="Category"/>
    <tableColumn id="3" xr3:uid="{D8694F7B-A8BB-4909-ABF2-984C713DB725}" name="GST_%"/>
    <tableColumn id="4" xr3:uid="{857881AA-E5F2-400A-8E1F-6E20F1CB8B11}" name="Final Payable Amount" dataDxfId="3">
      <calculatedColumnFormula>K4+J4</calculatedColumnFormula>
    </tableColumn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B799EE3-0F8D-45AE-A7CC-FB0F353BA4A7}" name="Table5" displayName="Table5" ref="A27:D34" totalsRowShown="0">
  <autoFilter ref="A27:D34" xr:uid="{BB799EE3-0F8D-45AE-A7CC-FB0F353BA4A7}"/>
  <tableColumns count="4">
    <tableColumn id="1" xr3:uid="{A2236AA8-2FC2-4056-81DA-3C685771064D}" name="Product"/>
    <tableColumn id="2" xr3:uid="{E27C5D8C-E3D1-494E-9629-DDB6BE9F002D}" name="Category"/>
    <tableColumn id="3" xr3:uid="{5C1D7757-45A9-4385-8B9A-250D73440B79}" name="GST_%"/>
    <tableColumn id="4" xr3:uid="{96FD7415-A0D2-4F08-862A-EEB30A0B8C0E}" name="Final Amount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23DAD9A-C97C-4EC1-AA51-9DC11EDEF434}" name="Table6" displayName="Table6" ref="A37:H43" totalsRowShown="0">
  <autoFilter ref="A37:H43" xr:uid="{223DAD9A-C97C-4EC1-AA51-9DC11EDEF434}"/>
  <tableColumns count="8">
    <tableColumn id="1" xr3:uid="{E1C65011-7454-49E3-A71B-68F82324FB16}" name="Order_ID"/>
    <tableColumn id="2" xr3:uid="{D00EC3D2-7B0D-4E38-B4A3-7083A830B2F6}" name="Region"/>
    <tableColumn id="3" xr3:uid="{CACA0972-613E-4D96-8961-C3314460237E}" name="Salesperson"/>
    <tableColumn id="4" xr3:uid="{64E3EE3C-8F16-4740-8AB6-A5ECAAC06381}" name="Product"/>
    <tableColumn id="5" xr3:uid="{9D4C4BE8-D78E-44AC-8882-C300656FBE97}" name="Quantity"/>
    <tableColumn id="6" xr3:uid="{46F1A7FA-623E-4DE4-86BE-B3BAE86199B9}" name="Unit_Price"/>
    <tableColumn id="7" xr3:uid="{55648E1A-5222-4DAC-B569-3E393BEB00FF}" name="Sales_Date"/>
    <tableColumn id="8" xr3:uid="{1F549FEB-9210-4D96-A966-16EC08F897C0}" name="Column1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957384C-0D61-41EE-A010-BEF3BB9E2999}" name="Table8" displayName="Table8" ref="A53:G59" totalsRowShown="0">
  <autoFilter ref="A53:G59" xr:uid="{B957384C-0D61-41EE-A010-BEF3BB9E2999}"/>
  <tableColumns count="7">
    <tableColumn id="1" xr3:uid="{2A1C18F3-2AB2-4445-94F4-5AEFB2B837A5}" name="Order_ID"/>
    <tableColumn id="2" xr3:uid="{DF428479-640D-484C-8FB3-61755D232232}" name="Region"/>
    <tableColumn id="3" xr3:uid="{615D520F-A478-4883-A222-FE4C5EAF1E20}" name="Salesperson"/>
    <tableColumn id="4" xr3:uid="{82E00CD8-62BB-4BC9-811F-32436513E18F}" name="Product"/>
    <tableColumn id="5" xr3:uid="{287D3862-C39D-4D5A-97A5-07AE11A9054D}" name="Quantity"/>
    <tableColumn id="6" xr3:uid="{492D08F7-3D5C-4154-A102-C87C2A381906}" name="Unit_Price"/>
    <tableColumn id="7" xr3:uid="{DDCD063E-E8AD-4557-BE1F-BFC07FFCA2AF}" name="Sales_Date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5F2BB7C-9F4D-4D21-85B4-7B391B6F2440}" name="Table9" displayName="Table9" ref="A72:G78" totalsRowShown="0">
  <autoFilter ref="A72:G78" xr:uid="{F5F2BB7C-9F4D-4D21-85B4-7B391B6F2440}"/>
  <tableColumns count="7">
    <tableColumn id="1" xr3:uid="{70BC281F-8D29-4CFB-B0B1-0BED7BB4A15F}" name="Order_ID"/>
    <tableColumn id="2" xr3:uid="{D217F505-E8EC-4A5F-8164-03F99AF89E7C}" name="Region"/>
    <tableColumn id="3" xr3:uid="{98979045-763E-45B6-8764-E21C7EA04574}" name="Salesperson"/>
    <tableColumn id="4" xr3:uid="{E94AF2F1-B2F6-443D-9F1E-58AB5EB8B48F}" name="Product"/>
    <tableColumn id="5" xr3:uid="{0704CB60-F344-481E-AEAA-51B9816B6D1A}" name="Quantity"/>
    <tableColumn id="6" xr3:uid="{2B961487-053C-434F-B629-FDEA8B439C88}" name="Unit_Price"/>
    <tableColumn id="7" xr3:uid="{2E2C1EB8-D92B-4C98-BFE2-2C4C9DEB2F4C}" name="Sales_Date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A27249E-442A-4DFF-92AA-1FCDF6BE1DFE}" name="Table10" displayName="Table10" ref="A85:I91" totalsRowShown="0">
  <autoFilter ref="A85:I91" xr:uid="{1A27249E-442A-4DFF-92AA-1FCDF6BE1DFE}"/>
  <tableColumns count="9">
    <tableColumn id="1" xr3:uid="{C030E836-FE8D-4DE2-AD7E-AEB68A3013C0}" name="Order_ID"/>
    <tableColumn id="2" xr3:uid="{8B1E7E39-0E4D-4464-B689-DB4F2A32A259}" name="Region"/>
    <tableColumn id="3" xr3:uid="{CCE53F35-CB87-4297-A05A-C802190BF4EF}" name="Salesperson"/>
    <tableColumn id="4" xr3:uid="{3D1B772A-DD55-493D-8CD1-463DC207FA81}" name="Product"/>
    <tableColumn id="5" xr3:uid="{C910B7CD-53A3-4C05-ABF1-D33E851218E3}" name="Quantity"/>
    <tableColumn id="6" xr3:uid="{13D7A56C-EF38-4100-9587-49FC174CCC6D}" name="Unit_Price"/>
    <tableColumn id="7" xr3:uid="{FC2ECA93-D564-4E67-B365-889FB2A62068}" name="Sales_Date"/>
    <tableColumn id="8" xr3:uid="{8A9D1152-A828-4ABE-871B-EF45908CD916}" name="Column1"/>
    <tableColumn id="9" xr3:uid="{29DAA24D-C42A-48FE-B514-13C434E6298B}" name="Month name">
      <calculatedColumnFormula>TEXT(G86,"mmm")</calculatedColumnFormula>
    </tableColumn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017F1D2-C7AA-433C-B21E-22C1246AB22E}" name="Table11" displayName="Table11" ref="A98:H104" totalsRowShown="0">
  <autoFilter ref="A98:H104" xr:uid="{2017F1D2-C7AA-433C-B21E-22C1246AB22E}"/>
  <tableColumns count="8">
    <tableColumn id="1" xr3:uid="{9880E425-50CB-4B56-AB85-E5FFCF798B35}" name="Column1"/>
    <tableColumn id="2" xr3:uid="{3C343EE9-C5D0-4136-8340-5F79627319C8}" name="Column2"/>
    <tableColumn id="3" xr3:uid="{7EFA8D62-42E4-4D59-BB9F-80E3A4256875}" name="Column3"/>
    <tableColumn id="4" xr3:uid="{5A071888-0BB2-4BCC-89AB-F0585B64BFAD}" name="Column4"/>
    <tableColumn id="5" xr3:uid="{C0D01D73-119C-4D12-BB60-FA14932D636C}" name="Column5"/>
    <tableColumn id="6" xr3:uid="{84B6EE55-181C-4423-8E68-365E1CC0F138}" name="Column6"/>
    <tableColumn id="7" xr3:uid="{5630993F-C91F-45A2-8159-8D4E28CDC2C6}" name="Column7"/>
    <tableColumn id="8" xr3:uid="{F316ED76-EE65-456A-B121-D998190A870D}" name="Column8">
      <calculatedColumnFormula>AVERAGE(C99,D99,E99)</calculatedColumnFormula>
    </tableColumn>
  </tableColumns>
  <tableStyleInfo name="TableStyleMedium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D2391D6-BFF6-4103-A412-AA5F8CE443C9}" name="Table12" displayName="Table12" ref="A109:H115" totalsRowShown="0">
  <autoFilter ref="A109:H115" xr:uid="{AD2391D6-BFF6-4103-A412-AA5F8CE443C9}"/>
  <tableColumns count="8">
    <tableColumn id="1" xr3:uid="{D657E824-51CE-489C-80A2-5D43ED191CD8}" name="Column1"/>
    <tableColumn id="2" xr3:uid="{0DA7E761-456D-402E-BBF1-94390D9DAE93}" name="Column2"/>
    <tableColumn id="3" xr3:uid="{90A689CF-129F-49B2-B07F-C2C71FD08C9C}" name="Column3"/>
    <tableColumn id="4" xr3:uid="{4A069B0E-CD37-4A9E-BD45-D942F7237526}" name="Column4"/>
    <tableColumn id="5" xr3:uid="{72AE11C6-A88E-4EAA-B53C-B90318C71EEC}" name="Column5"/>
    <tableColumn id="6" xr3:uid="{E66E90BB-8B96-4279-9D74-016523E00D30}" name="Column6"/>
    <tableColumn id="7" xr3:uid="{5D2613BE-BA6A-4F12-8CC0-6953518B30C3}" name="Column7"/>
    <tableColumn id="8" xr3:uid="{DF7D53A9-3220-440F-89F1-7C1A70F56EEC}" name="Column8">
      <calculatedColumnFormula>AVERAGE(C110,D110,E110)</calculatedColumnFormula>
    </tableColumn>
  </tableColumns>
  <tableStyleInfo name="TableStyleMedium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35248E6-D2CC-4A87-A1B0-B1F070964AC0}" name="Table13" displayName="Table13" ref="A118:H124" totalsRowShown="0">
  <autoFilter ref="A118:H124" xr:uid="{C35248E6-D2CC-4A87-A1B0-B1F070964AC0}"/>
  <tableColumns count="8">
    <tableColumn id="1" xr3:uid="{D87F5E27-BC74-4822-AD96-25248F093F08}" name="Column1"/>
    <tableColumn id="2" xr3:uid="{8A2618BE-4E81-44E9-832B-2ED8648E49B1}" name="Column2"/>
    <tableColumn id="3" xr3:uid="{A866E333-9559-44C3-BC92-D01488E8B6F2}" name="Column3"/>
    <tableColumn id="4" xr3:uid="{8E875D46-1B7D-4749-9C0F-56B083ED6212}" name="Column4"/>
    <tableColumn id="5" xr3:uid="{1D65D48B-8B63-4888-B45D-4EBD8C43A4F6}" name="Column5"/>
    <tableColumn id="6" xr3:uid="{02DD9001-EF2D-44C5-B9B4-992BB4D33A65}" name="Column6"/>
    <tableColumn id="7" xr3:uid="{C4555C0A-A3DB-429C-8625-E7A3EC6202D9}" name="Column7"/>
    <tableColumn id="8" xr3:uid="{33FF15B0-6489-44E6-8FAD-18086AB16AC9}" name="Column8">
      <calculatedColumnFormula>AVERAGE(C119,D119,E119)</calculatedColumnFormula>
    </tableColumn>
  </tableColumns>
  <tableStyleInfo name="TableStyleMedium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63C826C-8379-4895-8971-19BD6323F82E}" name="Table14" displayName="Table14" ref="A127:I133" totalsRowShown="0">
  <autoFilter ref="A127:I133" xr:uid="{D63C826C-8379-4895-8971-19BD6323F82E}"/>
  <tableColumns count="9">
    <tableColumn id="1" xr3:uid="{ED0DBFD1-8D9E-46EE-A58E-C66D4841CD61}" name="Column1"/>
    <tableColumn id="2" xr3:uid="{7C699139-7AFA-47C9-B3B0-D8B600363FDF}" name="Column2"/>
    <tableColumn id="3" xr3:uid="{598FC408-097C-4C05-916C-E701BC41A493}" name="Column3"/>
    <tableColumn id="4" xr3:uid="{A4E64200-DD3A-4BE5-B58C-70513CD3D9A4}" name="Column4"/>
    <tableColumn id="5" xr3:uid="{E3A05B55-F7A1-4133-840B-57031DD2D148}" name="Column5"/>
    <tableColumn id="6" xr3:uid="{6D05F540-A9CB-4E99-BCF7-AFED16BCF23E}" name="Column6"/>
    <tableColumn id="7" xr3:uid="{16567620-5B42-409E-99AA-50E8C5B59AEC}" name="Column7"/>
    <tableColumn id="8" xr3:uid="{17045A9D-0670-4574-885F-2419E095DEBA}" name="Column8">
      <calculatedColumnFormula>AVERAGE(C128,D128,E128)</calculatedColumnFormula>
    </tableColumn>
    <tableColumn id="9" xr3:uid="{48B4F408-FD1C-425F-B692-AF6EF56332E4}" name="Column9">
      <calculatedColumnFormula>IF(F128&gt;=85, "Eligible", "Not Eligible")</calculatedColumnFormula>
    </tableColumn>
  </tableColumns>
  <tableStyleInfo name="TableStyleMedium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D3C89C7-13AD-49C1-A542-4B7FF396324A}" name="Table15" displayName="Table15" ref="A223:B229" totalsRowShown="0">
  <autoFilter ref="A223:B229" xr:uid="{692D5FAA-148C-4B9F-8603-D8EB3A3409F2}">
    <filterColumn colId="0">
      <filters>
        <filter val="Laptop"/>
      </filters>
    </filterColumn>
    <filterColumn colId="1">
      <filters>
        <filter val="2"/>
      </filters>
    </filterColumn>
  </autoFilter>
  <tableColumns count="2">
    <tableColumn id="1" xr3:uid="{0C9430AE-10EB-4F2A-AE2B-471490E29233}" name="Product"/>
    <tableColumn id="2" xr3:uid="{D04B0003-CC7D-4CBC-AA0A-3AF48957A52A}" name="Quantity"/>
  </tableColumns>
  <tableStyleInfo name="TableStyleMedium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1AD4F4E9-621C-4D62-98B3-9E0395C4BFE0}" name="Table16" displayName="Table16" ref="A258:I265" totalsRowShown="0">
  <autoFilter ref="A258:I265" xr:uid="{1AD4F4E9-621C-4D62-98B3-9E0395C4BFE0}"/>
  <tableColumns count="9">
    <tableColumn id="1" xr3:uid="{12F9391C-B728-4A19-B007-3C651CE0145D}" name="Column1"/>
    <tableColumn id="2" xr3:uid="{C037EEFD-C26F-4ABF-9AB2-1CB7DE7609B3}" name="Column2"/>
    <tableColumn id="3" xr3:uid="{578BE5D0-D9D0-4817-A2AE-CEB602DBD0FB}" name="Column3"/>
    <tableColumn id="4" xr3:uid="{6AC2AF55-946A-4594-8EF9-A20BA5D422E0}" name="Column4"/>
    <tableColumn id="5" xr3:uid="{71B38B5E-2BCF-41F5-9ABD-9C83ABEB7B91}" name="Column5"/>
    <tableColumn id="6" xr3:uid="{300CE9AA-AF2D-4550-9E84-72E4BB854E5A}" name="Column6"/>
    <tableColumn id="7" xr3:uid="{5349D2EA-9C0D-46E4-A2BA-C120C63466E3}" name="Column7"/>
    <tableColumn id="8" xr3:uid="{B595C0A2-C178-4D7B-B69F-8CA9DCBD30EE}" name="Column8"/>
    <tableColumn id="9" xr3:uid="{02ED64F8-4D49-4B6C-AB20-49B304D6990C}" name="Column9">
      <calculatedColumnFormula>TEXT(G259,"mmm")</calculatedColumnFormula>
    </tableColumn>
  </tableColumns>
  <tableStyleInfo name="TableStyleMedium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E7DFC08C-70B6-409C-B468-6587E5041A9D}" name="Table17" displayName="Table17" ref="A268:F273" totalsRowShown="0">
  <autoFilter ref="A268:F273" xr:uid="{E7DFC08C-70B6-409C-B468-6587E5041A9D}"/>
  <tableColumns count="6">
    <tableColumn id="1" xr3:uid="{0D323863-5390-4C60-8BD0-D2B72A4790A3}" name="Student_ID"/>
    <tableColumn id="2" xr3:uid="{78CEC5EB-9349-45B3-B752-134DC186D6CD}" name="Name"/>
    <tableColumn id="3" xr3:uid="{23B94BC3-875A-4FBF-99F7-BB1D2A487C38}" name="Maths"/>
    <tableColumn id="4" xr3:uid="{7C49B4F0-71C6-4E35-96E9-A0F95D8E17A9}" name="Statistics"/>
    <tableColumn id="5" xr3:uid="{CBC2E0C6-C1D6-4039-8456-FD16D5C1E9B8}" name="Excel"/>
    <tableColumn id="6" xr3:uid="{F7830978-C350-4C4B-B198-0DE4F9633217}" name="Attendance_%"/>
  </tableColumns>
  <tableStyleInfo name="TableStyleMedium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C05297DC-6293-4D95-A795-EC3D4203AB09}" name="Table18" displayName="Table18" ref="A2:L10" totalsRowShown="0">
  <autoFilter ref="A2:L10" xr:uid="{C05297DC-6293-4D95-A795-EC3D4203AB09}"/>
  <tableColumns count="12">
    <tableColumn id="1" xr3:uid="{A72EDF3B-9ACD-4743-997F-E185151B7E64}" name="Column1"/>
    <tableColumn id="2" xr3:uid="{D6515667-79BB-4463-8846-8F17AE154299}" name="Column2"/>
    <tableColumn id="3" xr3:uid="{58D75B1A-61F3-414B-9AB2-CC489BD09066}" name="Column3"/>
    <tableColumn id="4" xr3:uid="{90CF101B-370D-49F2-9FC4-39599FBEEA54}" name="Column4"/>
    <tableColumn id="5" xr3:uid="{A59B1B15-0D36-4D88-91D5-A1394A59CC4A}" name="Column5"/>
    <tableColumn id="6" xr3:uid="{440A1B9B-73B4-4BE3-BEBE-1C2DC1223429}" name="Column6"/>
    <tableColumn id="7" xr3:uid="{7E2639A5-BD16-46C8-9C1D-E21431DBAFF1}" name="Column7"/>
    <tableColumn id="8" xr3:uid="{64468604-AB17-41CE-8C57-610543DDD839}" name="Column8"/>
    <tableColumn id="9" xr3:uid="{7E0DF320-BB0E-413A-8790-FFD458A516D0}" name="Column9"/>
    <tableColumn id="10" xr3:uid="{6ED35C1E-8C3E-49F8-AB6B-249555141917}" name="Column10" dataDxfId="2" dataCellStyle="Percent"/>
    <tableColumn id="11" xr3:uid="{0226325E-2BDA-4543-89D3-3BE14F121FD7}" name="Column11"/>
    <tableColumn id="12" xr3:uid="{4B4A2C87-2B5F-4180-B181-C147EA6C6CD9}" name="Column1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13" Type="http://schemas.openxmlformats.org/officeDocument/2006/relationships/table" Target="../tables/table8.xml"/><Relationship Id="rId18" Type="http://schemas.openxmlformats.org/officeDocument/2006/relationships/table" Target="../tables/table13.xml"/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2.xml"/><Relationship Id="rId12" Type="http://schemas.openxmlformats.org/officeDocument/2006/relationships/table" Target="../tables/table7.xml"/><Relationship Id="rId17" Type="http://schemas.openxmlformats.org/officeDocument/2006/relationships/table" Target="../tables/table12.xml"/><Relationship Id="rId2" Type="http://schemas.openxmlformats.org/officeDocument/2006/relationships/pivotTable" Target="../pivotTables/pivotTable2.xml"/><Relationship Id="rId16" Type="http://schemas.openxmlformats.org/officeDocument/2006/relationships/table" Target="../tables/table11.xml"/><Relationship Id="rId20" Type="http://schemas.openxmlformats.org/officeDocument/2006/relationships/table" Target="../tables/table15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1.xml"/><Relationship Id="rId11" Type="http://schemas.openxmlformats.org/officeDocument/2006/relationships/table" Target="../tables/table6.xml"/><Relationship Id="rId5" Type="http://schemas.openxmlformats.org/officeDocument/2006/relationships/drawing" Target="../drawings/drawing1.xml"/><Relationship Id="rId15" Type="http://schemas.openxmlformats.org/officeDocument/2006/relationships/table" Target="../tables/table10.xml"/><Relationship Id="rId10" Type="http://schemas.openxmlformats.org/officeDocument/2006/relationships/table" Target="../tables/table5.xml"/><Relationship Id="rId19" Type="http://schemas.openxmlformats.org/officeDocument/2006/relationships/table" Target="../tables/table14.xml"/><Relationship Id="rId4" Type="http://schemas.openxmlformats.org/officeDocument/2006/relationships/pivotTable" Target="../pivotTables/pivotTable4.xml"/><Relationship Id="rId9" Type="http://schemas.openxmlformats.org/officeDocument/2006/relationships/table" Target="../tables/table4.xml"/><Relationship Id="rId14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D5FAA-148C-4B9F-8603-D8EB3A3409F2}">
  <dimension ref="A1:W273"/>
  <sheetViews>
    <sheetView tabSelected="1" workbookViewId="0">
      <selection activeCell="W96" sqref="W96:W101"/>
    </sheetView>
  </sheetViews>
  <sheetFormatPr defaultRowHeight="14.4" x14ac:dyDescent="0.3"/>
  <cols>
    <col min="1" max="1" width="12.33203125" customWidth="1"/>
    <col min="2" max="2" width="13.109375" bestFit="1" customWidth="1"/>
    <col min="3" max="3" width="17.33203125" customWidth="1"/>
    <col min="4" max="4" width="21.21875" customWidth="1"/>
    <col min="5" max="5" width="10.44140625" customWidth="1"/>
    <col min="6" max="6" width="15.109375" customWidth="1"/>
    <col min="7" max="7" width="12" customWidth="1"/>
    <col min="8" max="8" width="10.44140625" customWidth="1"/>
    <col min="9" max="9" width="13.88671875" customWidth="1"/>
    <col min="10" max="10" width="13.109375" bestFit="1" customWidth="1"/>
    <col min="11" max="11" width="12.109375" bestFit="1" customWidth="1"/>
    <col min="12" max="12" width="13.33203125" bestFit="1" customWidth="1"/>
    <col min="13" max="13" width="15.5546875" bestFit="1" customWidth="1"/>
    <col min="23" max="23" width="13.109375" customWidth="1"/>
  </cols>
  <sheetData>
    <row r="1" spans="1:12" x14ac:dyDescent="0.3">
      <c r="A1" t="s">
        <v>0</v>
      </c>
    </row>
    <row r="2" spans="1:12" x14ac:dyDescent="0.3">
      <c r="A2" t="s">
        <v>91</v>
      </c>
      <c r="B2" t="s">
        <v>93</v>
      </c>
      <c r="C2" t="s">
        <v>94</v>
      </c>
      <c r="D2" t="s">
        <v>95</v>
      </c>
      <c r="E2" t="s">
        <v>96</v>
      </c>
      <c r="F2" t="s">
        <v>97</v>
      </c>
      <c r="G2" t="s">
        <v>98</v>
      </c>
      <c r="H2" t="s">
        <v>99</v>
      </c>
      <c r="I2" t="s">
        <v>100</v>
      </c>
      <c r="J2" t="s">
        <v>102</v>
      </c>
      <c r="K2" t="s">
        <v>103</v>
      </c>
      <c r="L2" t="s">
        <v>104</v>
      </c>
    </row>
    <row r="3" spans="1:12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I3" t="s">
        <v>25</v>
      </c>
      <c r="J3" t="s">
        <v>89</v>
      </c>
      <c r="K3" t="s">
        <v>30</v>
      </c>
      <c r="L3" t="s">
        <v>90</v>
      </c>
    </row>
    <row r="4" spans="1:12" x14ac:dyDescent="0.3">
      <c r="A4">
        <v>301</v>
      </c>
      <c r="B4" t="s">
        <v>1</v>
      </c>
      <c r="C4" t="s">
        <v>2</v>
      </c>
      <c r="D4" t="s">
        <v>3</v>
      </c>
      <c r="E4">
        <v>2</v>
      </c>
      <c r="F4">
        <v>45000</v>
      </c>
      <c r="G4" t="s">
        <v>4</v>
      </c>
      <c r="I4">
        <f>E4*F4</f>
        <v>90000</v>
      </c>
      <c r="J4" s="4">
        <v>0.18</v>
      </c>
      <c r="K4">
        <f>I4*J4</f>
        <v>16200</v>
      </c>
      <c r="L4">
        <f>I4+K4</f>
        <v>106200</v>
      </c>
    </row>
    <row r="5" spans="1:12" x14ac:dyDescent="0.3">
      <c r="A5">
        <v>302</v>
      </c>
      <c r="B5" t="s">
        <v>5</v>
      </c>
      <c r="C5" t="s">
        <v>6</v>
      </c>
      <c r="D5" t="s">
        <v>7</v>
      </c>
      <c r="E5">
        <v>5</v>
      </c>
      <c r="F5">
        <v>15000</v>
      </c>
      <c r="G5" t="s">
        <v>8</v>
      </c>
      <c r="I5">
        <f t="shared" ref="I5:I9" si="0">E5*F5</f>
        <v>75000</v>
      </c>
      <c r="J5" s="4">
        <v>0.12</v>
      </c>
      <c r="K5">
        <f t="shared" ref="K5:K9" si="1">I5*J5</f>
        <v>9000</v>
      </c>
      <c r="L5">
        <f t="shared" ref="L5:L9" si="2">I5+K5</f>
        <v>84000</v>
      </c>
    </row>
    <row r="6" spans="1:12" x14ac:dyDescent="0.3">
      <c r="A6">
        <v>303</v>
      </c>
      <c r="B6" t="s">
        <v>9</v>
      </c>
      <c r="C6" t="s">
        <v>10</v>
      </c>
      <c r="D6" t="s">
        <v>11</v>
      </c>
      <c r="E6">
        <v>3</v>
      </c>
      <c r="F6">
        <v>18000</v>
      </c>
      <c r="G6" t="s">
        <v>12</v>
      </c>
      <c r="I6">
        <f t="shared" si="0"/>
        <v>54000</v>
      </c>
      <c r="J6" s="4">
        <v>0.12</v>
      </c>
      <c r="K6">
        <f t="shared" si="1"/>
        <v>6480</v>
      </c>
      <c r="L6">
        <f t="shared" si="2"/>
        <v>60480</v>
      </c>
    </row>
    <row r="7" spans="1:12" x14ac:dyDescent="0.3">
      <c r="A7">
        <v>304</v>
      </c>
      <c r="B7" t="s">
        <v>13</v>
      </c>
      <c r="C7" t="s">
        <v>14</v>
      </c>
      <c r="D7" t="s">
        <v>3</v>
      </c>
      <c r="E7">
        <v>1</v>
      </c>
      <c r="F7">
        <v>45000</v>
      </c>
      <c r="G7" t="s">
        <v>15</v>
      </c>
      <c r="I7">
        <f t="shared" si="0"/>
        <v>45000</v>
      </c>
      <c r="J7" s="4">
        <v>0.18</v>
      </c>
      <c r="K7">
        <f t="shared" si="1"/>
        <v>8100</v>
      </c>
      <c r="L7">
        <f t="shared" si="2"/>
        <v>53100</v>
      </c>
    </row>
    <row r="8" spans="1:12" x14ac:dyDescent="0.3">
      <c r="A8">
        <v>305</v>
      </c>
      <c r="B8" t="s">
        <v>1</v>
      </c>
      <c r="C8" t="s">
        <v>2</v>
      </c>
      <c r="D8" t="s">
        <v>7</v>
      </c>
      <c r="E8">
        <v>4</v>
      </c>
      <c r="F8">
        <v>15000</v>
      </c>
      <c r="G8" t="s">
        <v>16</v>
      </c>
      <c r="I8">
        <f t="shared" si="0"/>
        <v>60000</v>
      </c>
      <c r="J8" s="4">
        <v>0.12</v>
      </c>
      <c r="K8">
        <f t="shared" si="1"/>
        <v>7200</v>
      </c>
      <c r="L8">
        <f t="shared" si="2"/>
        <v>67200</v>
      </c>
    </row>
    <row r="9" spans="1:12" x14ac:dyDescent="0.3">
      <c r="A9">
        <v>306</v>
      </c>
      <c r="B9" t="s">
        <v>5</v>
      </c>
      <c r="C9" t="s">
        <v>6</v>
      </c>
      <c r="D9" t="s">
        <v>3</v>
      </c>
      <c r="E9">
        <v>2</v>
      </c>
      <c r="F9">
        <v>45000</v>
      </c>
      <c r="G9" t="s">
        <v>17</v>
      </c>
      <c r="I9">
        <f t="shared" si="0"/>
        <v>90000</v>
      </c>
      <c r="J9" s="4">
        <v>0.18</v>
      </c>
      <c r="K9">
        <f t="shared" si="1"/>
        <v>16200</v>
      </c>
      <c r="L9">
        <f t="shared" si="2"/>
        <v>106200</v>
      </c>
    </row>
    <row r="10" spans="1:12" x14ac:dyDescent="0.3">
      <c r="J10" t="s">
        <v>101</v>
      </c>
      <c r="L10">
        <f>SUM(L4:L9)</f>
        <v>477180</v>
      </c>
    </row>
    <row r="11" spans="1:12" x14ac:dyDescent="0.3">
      <c r="A11" t="s">
        <v>26</v>
      </c>
    </row>
    <row r="13" spans="1:12" x14ac:dyDescent="0.3">
      <c r="A13" t="s">
        <v>21</v>
      </c>
      <c r="B13" t="s">
        <v>27</v>
      </c>
      <c r="C13" t="s">
        <v>28</v>
      </c>
      <c r="D13" t="s">
        <v>30</v>
      </c>
    </row>
    <row r="14" spans="1:12" x14ac:dyDescent="0.3">
      <c r="A14" t="s">
        <v>3</v>
      </c>
      <c r="B14" t="s">
        <v>29</v>
      </c>
      <c r="C14">
        <v>18</v>
      </c>
      <c r="D14">
        <f>VLOOKUP(A14,D3:K9,8,0)</f>
        <v>16200</v>
      </c>
    </row>
    <row r="15" spans="1:12" x14ac:dyDescent="0.3">
      <c r="A15" t="s">
        <v>7</v>
      </c>
      <c r="B15" t="s">
        <v>29</v>
      </c>
      <c r="C15">
        <v>12</v>
      </c>
      <c r="D15">
        <f>VLOOKUP(A15,D4:K10,8,0)</f>
        <v>9000</v>
      </c>
    </row>
    <row r="16" spans="1:12" x14ac:dyDescent="0.3">
      <c r="A16" t="s">
        <v>11</v>
      </c>
      <c r="B16" t="s">
        <v>29</v>
      </c>
      <c r="C16">
        <v>12</v>
      </c>
      <c r="D16">
        <f>VLOOKUP(A16,D5:K10,8,0)</f>
        <v>6480</v>
      </c>
    </row>
    <row r="18" spans="1:9" x14ac:dyDescent="0.3">
      <c r="A18" t="s">
        <v>31</v>
      </c>
    </row>
    <row r="20" spans="1:9" x14ac:dyDescent="0.3">
      <c r="A20" t="s">
        <v>21</v>
      </c>
      <c r="B20" t="s">
        <v>27</v>
      </c>
      <c r="C20" t="s">
        <v>28</v>
      </c>
      <c r="D20" t="s">
        <v>32</v>
      </c>
    </row>
    <row r="21" spans="1:9" x14ac:dyDescent="0.3">
      <c r="A21" t="s">
        <v>3</v>
      </c>
      <c r="B21" t="s">
        <v>29</v>
      </c>
      <c r="C21">
        <v>18</v>
      </c>
      <c r="D21" s="1">
        <f>K4+J4</f>
        <v>16200.18</v>
      </c>
    </row>
    <row r="22" spans="1:9" x14ac:dyDescent="0.3">
      <c r="A22" t="s">
        <v>7</v>
      </c>
      <c r="B22" t="s">
        <v>29</v>
      </c>
      <c r="C22">
        <v>12</v>
      </c>
      <c r="D22" s="1">
        <f>K5+J5</f>
        <v>9000.1200000000008</v>
      </c>
    </row>
    <row r="23" spans="1:9" x14ac:dyDescent="0.3">
      <c r="A23" t="s">
        <v>11</v>
      </c>
      <c r="B23" t="s">
        <v>29</v>
      </c>
      <c r="C23">
        <v>12</v>
      </c>
      <c r="D23" s="1">
        <f>K6+J6</f>
        <v>6480.12</v>
      </c>
    </row>
    <row r="25" spans="1:9" x14ac:dyDescent="0.3">
      <c r="A25" t="s">
        <v>33</v>
      </c>
    </row>
    <row r="26" spans="1:9" x14ac:dyDescent="0.3">
      <c r="H26" t="s">
        <v>35</v>
      </c>
    </row>
    <row r="27" spans="1:9" x14ac:dyDescent="0.3">
      <c r="A27" t="s">
        <v>21</v>
      </c>
      <c r="B27" t="s">
        <v>27</v>
      </c>
      <c r="C27" t="s">
        <v>28</v>
      </c>
      <c r="D27" t="s">
        <v>34</v>
      </c>
      <c r="H27">
        <f>COUNTA(A4:A9)</f>
        <v>6</v>
      </c>
      <c r="I27" t="s">
        <v>64</v>
      </c>
    </row>
    <row r="28" spans="1:9" x14ac:dyDescent="0.3">
      <c r="D28">
        <v>477180</v>
      </c>
    </row>
    <row r="29" spans="1:9" x14ac:dyDescent="0.3">
      <c r="A29" t="s">
        <v>3</v>
      </c>
      <c r="B29" t="s">
        <v>29</v>
      </c>
      <c r="C29">
        <v>18</v>
      </c>
      <c r="D29">
        <v>106200</v>
      </c>
    </row>
    <row r="30" spans="1:9" x14ac:dyDescent="0.3">
      <c r="D30">
        <v>106200</v>
      </c>
    </row>
    <row r="31" spans="1:9" x14ac:dyDescent="0.3">
      <c r="A31" t="s">
        <v>7</v>
      </c>
      <c r="B31" t="s">
        <v>29</v>
      </c>
      <c r="C31">
        <v>12</v>
      </c>
      <c r="D31">
        <v>84000</v>
      </c>
    </row>
    <row r="32" spans="1:9" x14ac:dyDescent="0.3">
      <c r="D32">
        <v>67200</v>
      </c>
    </row>
    <row r="33" spans="1:8" x14ac:dyDescent="0.3">
      <c r="A33" t="s">
        <v>11</v>
      </c>
      <c r="B33" t="s">
        <v>29</v>
      </c>
      <c r="C33">
        <v>12</v>
      </c>
      <c r="D33">
        <v>60480</v>
      </c>
    </row>
    <row r="34" spans="1:8" x14ac:dyDescent="0.3">
      <c r="D34">
        <v>53100</v>
      </c>
    </row>
    <row r="35" spans="1:8" x14ac:dyDescent="0.3">
      <c r="A35" t="s">
        <v>36</v>
      </c>
    </row>
    <row r="37" spans="1:8" x14ac:dyDescent="0.3">
      <c r="A37" t="s">
        <v>18</v>
      </c>
      <c r="B37" t="s">
        <v>19</v>
      </c>
      <c r="C37" t="s">
        <v>20</v>
      </c>
      <c r="D37" t="s">
        <v>21</v>
      </c>
      <c r="E37" t="s">
        <v>22</v>
      </c>
      <c r="F37" t="s">
        <v>23</v>
      </c>
      <c r="G37" t="s">
        <v>24</v>
      </c>
      <c r="H37" t="s">
        <v>91</v>
      </c>
    </row>
    <row r="38" spans="1:8" x14ac:dyDescent="0.3">
      <c r="A38">
        <v>301</v>
      </c>
      <c r="B38" t="s">
        <v>1</v>
      </c>
      <c r="C38" t="s">
        <v>2</v>
      </c>
      <c r="D38" t="s">
        <v>3</v>
      </c>
      <c r="E38">
        <v>2</v>
      </c>
      <c r="F38">
        <v>45000</v>
      </c>
      <c r="G38" t="s">
        <v>4</v>
      </c>
    </row>
    <row r="39" spans="1:8" x14ac:dyDescent="0.3">
      <c r="A39">
        <v>302</v>
      </c>
      <c r="B39" t="s">
        <v>5</v>
      </c>
      <c r="C39" t="s">
        <v>6</v>
      </c>
      <c r="D39" t="s">
        <v>7</v>
      </c>
      <c r="E39">
        <v>5</v>
      </c>
      <c r="F39">
        <v>15000</v>
      </c>
      <c r="G39" t="s">
        <v>8</v>
      </c>
    </row>
    <row r="40" spans="1:8" x14ac:dyDescent="0.3">
      <c r="A40">
        <v>303</v>
      </c>
      <c r="B40" t="s">
        <v>9</v>
      </c>
      <c r="C40" t="s">
        <v>10</v>
      </c>
      <c r="D40" t="s">
        <v>11</v>
      </c>
      <c r="E40">
        <v>3</v>
      </c>
      <c r="F40">
        <v>18000</v>
      </c>
      <c r="G40" t="s">
        <v>12</v>
      </c>
    </row>
    <row r="41" spans="1:8" x14ac:dyDescent="0.3">
      <c r="A41">
        <v>304</v>
      </c>
      <c r="B41" t="s">
        <v>13</v>
      </c>
      <c r="C41" t="s">
        <v>14</v>
      </c>
      <c r="D41" t="s">
        <v>3</v>
      </c>
      <c r="E41">
        <v>1</v>
      </c>
      <c r="F41">
        <v>45000</v>
      </c>
      <c r="G41" t="s">
        <v>15</v>
      </c>
    </row>
    <row r="42" spans="1:8" x14ac:dyDescent="0.3">
      <c r="A42">
        <v>305</v>
      </c>
      <c r="B42" t="s">
        <v>1</v>
      </c>
      <c r="C42" t="s">
        <v>2</v>
      </c>
      <c r="D42" t="s">
        <v>7</v>
      </c>
      <c r="E42">
        <v>4</v>
      </c>
      <c r="F42">
        <v>15000</v>
      </c>
      <c r="G42" t="s">
        <v>16</v>
      </c>
    </row>
    <row r="43" spans="1:8" x14ac:dyDescent="0.3">
      <c r="A43">
        <v>306</v>
      </c>
      <c r="B43" t="s">
        <v>5</v>
      </c>
      <c r="C43" t="s">
        <v>6</v>
      </c>
      <c r="D43" t="s">
        <v>3</v>
      </c>
      <c r="E43">
        <v>2</v>
      </c>
      <c r="F43">
        <v>45000</v>
      </c>
      <c r="G43" t="s">
        <v>17</v>
      </c>
    </row>
    <row r="45" spans="1:8" x14ac:dyDescent="0.3">
      <c r="B45" t="s">
        <v>37</v>
      </c>
    </row>
    <row r="46" spans="1:8" x14ac:dyDescent="0.3">
      <c r="B46" t="s">
        <v>1</v>
      </c>
      <c r="C46">
        <f>F38+E48</f>
        <v>45000</v>
      </c>
    </row>
    <row r="47" spans="1:8" x14ac:dyDescent="0.3">
      <c r="B47" t="s">
        <v>38</v>
      </c>
      <c r="C47">
        <f t="shared" ref="C47:C49" si="3">F39+F43</f>
        <v>60000</v>
      </c>
    </row>
    <row r="48" spans="1:8" x14ac:dyDescent="0.3">
      <c r="B48" t="s">
        <v>39</v>
      </c>
      <c r="C48">
        <f t="shared" si="3"/>
        <v>18000</v>
      </c>
    </row>
    <row r="49" spans="1:7" x14ac:dyDescent="0.3">
      <c r="B49" t="s">
        <v>13</v>
      </c>
      <c r="C49">
        <f t="shared" si="3"/>
        <v>45000</v>
      </c>
    </row>
    <row r="51" spans="1:7" x14ac:dyDescent="0.3">
      <c r="A51" t="s">
        <v>40</v>
      </c>
    </row>
    <row r="53" spans="1:7" x14ac:dyDescent="0.3">
      <c r="A53" t="s">
        <v>18</v>
      </c>
      <c r="B53" t="s">
        <v>19</v>
      </c>
      <c r="C53" t="s">
        <v>20</v>
      </c>
      <c r="D53" t="s">
        <v>21</v>
      </c>
      <c r="E53" t="s">
        <v>22</v>
      </c>
      <c r="F53" t="s">
        <v>23</v>
      </c>
      <c r="G53" t="s">
        <v>24</v>
      </c>
    </row>
    <row r="54" spans="1:7" x14ac:dyDescent="0.3">
      <c r="A54">
        <v>301</v>
      </c>
      <c r="B54" t="s">
        <v>1</v>
      </c>
      <c r="C54" t="s">
        <v>2</v>
      </c>
      <c r="D54" t="s">
        <v>3</v>
      </c>
      <c r="E54">
        <v>2</v>
      </c>
      <c r="F54">
        <v>45000</v>
      </c>
      <c r="G54" t="s">
        <v>4</v>
      </c>
    </row>
    <row r="55" spans="1:7" x14ac:dyDescent="0.3">
      <c r="A55">
        <v>302</v>
      </c>
      <c r="B55" t="s">
        <v>5</v>
      </c>
      <c r="C55" t="s">
        <v>6</v>
      </c>
      <c r="D55" t="s">
        <v>7</v>
      </c>
      <c r="E55">
        <v>5</v>
      </c>
      <c r="F55">
        <v>15000</v>
      </c>
      <c r="G55" t="s">
        <v>8</v>
      </c>
    </row>
    <row r="56" spans="1:7" x14ac:dyDescent="0.3">
      <c r="A56">
        <v>303</v>
      </c>
      <c r="B56" t="s">
        <v>9</v>
      </c>
      <c r="C56" t="s">
        <v>10</v>
      </c>
      <c r="D56" t="s">
        <v>11</v>
      </c>
      <c r="E56">
        <v>3</v>
      </c>
      <c r="F56">
        <v>18000</v>
      </c>
      <c r="G56" t="s">
        <v>12</v>
      </c>
    </row>
    <row r="57" spans="1:7" x14ac:dyDescent="0.3">
      <c r="A57">
        <v>304</v>
      </c>
      <c r="B57" t="s">
        <v>13</v>
      </c>
      <c r="C57" t="s">
        <v>14</v>
      </c>
      <c r="D57" t="s">
        <v>3</v>
      </c>
      <c r="E57">
        <v>1</v>
      </c>
      <c r="F57">
        <v>45000</v>
      </c>
      <c r="G57" t="s">
        <v>15</v>
      </c>
    </row>
    <row r="58" spans="1:7" x14ac:dyDescent="0.3">
      <c r="A58">
        <v>305</v>
      </c>
      <c r="B58" t="s">
        <v>1</v>
      </c>
      <c r="C58" t="s">
        <v>2</v>
      </c>
      <c r="D58" t="s">
        <v>7</v>
      </c>
      <c r="E58">
        <v>4</v>
      </c>
      <c r="F58">
        <v>15000</v>
      </c>
      <c r="G58" t="s">
        <v>16</v>
      </c>
    </row>
    <row r="59" spans="1:7" x14ac:dyDescent="0.3">
      <c r="A59">
        <v>306</v>
      </c>
      <c r="B59" t="s">
        <v>5</v>
      </c>
      <c r="C59" t="s">
        <v>6</v>
      </c>
      <c r="D59" t="s">
        <v>3</v>
      </c>
      <c r="E59">
        <v>2</v>
      </c>
      <c r="F59">
        <v>45000</v>
      </c>
      <c r="G59" t="s">
        <v>17</v>
      </c>
    </row>
    <row r="61" spans="1:7" x14ac:dyDescent="0.3">
      <c r="C61" t="s">
        <v>92</v>
      </c>
    </row>
    <row r="62" spans="1:7" x14ac:dyDescent="0.3">
      <c r="C62" t="s">
        <v>22</v>
      </c>
    </row>
    <row r="63" spans="1:7" x14ac:dyDescent="0.3">
      <c r="C63">
        <v>2</v>
      </c>
      <c r="D63" t="str">
        <f>IF(C63&gt;=3, "high", "low")</f>
        <v>low</v>
      </c>
    </row>
    <row r="64" spans="1:7" x14ac:dyDescent="0.3">
      <c r="C64">
        <v>5</v>
      </c>
      <c r="D64" t="str">
        <f t="shared" ref="D64:D68" si="4">IF(C64&gt;=3, "high", "low")</f>
        <v>high</v>
      </c>
    </row>
    <row r="65" spans="1:7" x14ac:dyDescent="0.3">
      <c r="C65">
        <v>3</v>
      </c>
      <c r="D65" t="str">
        <f t="shared" si="4"/>
        <v>high</v>
      </c>
    </row>
    <row r="66" spans="1:7" x14ac:dyDescent="0.3">
      <c r="C66">
        <v>1</v>
      </c>
      <c r="D66" t="str">
        <f t="shared" si="4"/>
        <v>low</v>
      </c>
    </row>
    <row r="67" spans="1:7" x14ac:dyDescent="0.3">
      <c r="C67">
        <v>4</v>
      </c>
      <c r="D67" t="str">
        <f t="shared" si="4"/>
        <v>high</v>
      </c>
    </row>
    <row r="68" spans="1:7" x14ac:dyDescent="0.3">
      <c r="C68">
        <v>2</v>
      </c>
      <c r="D68" t="str">
        <f t="shared" si="4"/>
        <v>low</v>
      </c>
    </row>
    <row r="70" spans="1:7" x14ac:dyDescent="0.3">
      <c r="A70" t="s">
        <v>41</v>
      </c>
    </row>
    <row r="72" spans="1:7" x14ac:dyDescent="0.3">
      <c r="A72" t="s">
        <v>18</v>
      </c>
      <c r="B72" t="s">
        <v>19</v>
      </c>
      <c r="C72" t="s">
        <v>20</v>
      </c>
      <c r="D72" t="s">
        <v>21</v>
      </c>
      <c r="E72" t="s">
        <v>22</v>
      </c>
      <c r="F72" t="s">
        <v>23</v>
      </c>
      <c r="G72" t="s">
        <v>24</v>
      </c>
    </row>
    <row r="73" spans="1:7" x14ac:dyDescent="0.3">
      <c r="A73">
        <v>301</v>
      </c>
      <c r="B73" t="s">
        <v>1</v>
      </c>
      <c r="C73" t="s">
        <v>2</v>
      </c>
      <c r="D73" t="s">
        <v>3</v>
      </c>
      <c r="E73">
        <v>2</v>
      </c>
      <c r="F73">
        <v>45000</v>
      </c>
      <c r="G73" t="s">
        <v>4</v>
      </c>
    </row>
    <row r="74" spans="1:7" x14ac:dyDescent="0.3">
      <c r="A74">
        <v>302</v>
      </c>
      <c r="B74" t="s">
        <v>5</v>
      </c>
      <c r="C74" t="s">
        <v>6</v>
      </c>
      <c r="D74" t="s">
        <v>7</v>
      </c>
      <c r="E74">
        <v>5</v>
      </c>
      <c r="F74">
        <v>15000</v>
      </c>
      <c r="G74" t="s">
        <v>8</v>
      </c>
    </row>
    <row r="75" spans="1:7" x14ac:dyDescent="0.3">
      <c r="A75">
        <v>303</v>
      </c>
      <c r="B75" t="s">
        <v>9</v>
      </c>
      <c r="C75" t="s">
        <v>10</v>
      </c>
      <c r="D75" t="s">
        <v>11</v>
      </c>
      <c r="E75">
        <v>3</v>
      </c>
      <c r="F75">
        <v>18000</v>
      </c>
      <c r="G75" t="s">
        <v>12</v>
      </c>
    </row>
    <row r="76" spans="1:7" x14ac:dyDescent="0.3">
      <c r="A76">
        <v>304</v>
      </c>
      <c r="B76" t="s">
        <v>13</v>
      </c>
      <c r="C76" t="s">
        <v>14</v>
      </c>
      <c r="D76" t="s">
        <v>3</v>
      </c>
      <c r="E76">
        <v>1</v>
      </c>
      <c r="F76">
        <v>45000</v>
      </c>
      <c r="G76" t="s">
        <v>15</v>
      </c>
    </row>
    <row r="77" spans="1:7" x14ac:dyDescent="0.3">
      <c r="A77">
        <v>305</v>
      </c>
      <c r="B77" t="s">
        <v>1</v>
      </c>
      <c r="C77" t="s">
        <v>2</v>
      </c>
      <c r="D77" t="s">
        <v>7</v>
      </c>
      <c r="E77">
        <v>4</v>
      </c>
      <c r="F77">
        <v>15000</v>
      </c>
      <c r="G77" t="s">
        <v>16</v>
      </c>
    </row>
    <row r="78" spans="1:7" x14ac:dyDescent="0.3">
      <c r="A78">
        <v>306</v>
      </c>
      <c r="B78" t="s">
        <v>5</v>
      </c>
      <c r="C78" t="s">
        <v>6</v>
      </c>
      <c r="D78" t="s">
        <v>3</v>
      </c>
      <c r="E78">
        <v>2</v>
      </c>
      <c r="F78">
        <v>45000</v>
      </c>
      <c r="G78" t="s">
        <v>17</v>
      </c>
    </row>
    <row r="79" spans="1:7" x14ac:dyDescent="0.3">
      <c r="D79" t="s">
        <v>92</v>
      </c>
    </row>
    <row r="80" spans="1:7" x14ac:dyDescent="0.3">
      <c r="D80" t="s">
        <v>42</v>
      </c>
      <c r="E80">
        <f>MAX(I4:I9)</f>
        <v>90000</v>
      </c>
    </row>
    <row r="81" spans="1:23" x14ac:dyDescent="0.3">
      <c r="D81" t="s">
        <v>43</v>
      </c>
      <c r="E81">
        <f>MIN(I4:I9)</f>
        <v>45000</v>
      </c>
    </row>
    <row r="83" spans="1:23" x14ac:dyDescent="0.3">
      <c r="A83" t="s">
        <v>44</v>
      </c>
    </row>
    <row r="85" spans="1:23" x14ac:dyDescent="0.3">
      <c r="A85" t="s">
        <v>18</v>
      </c>
      <c r="B85" t="s">
        <v>19</v>
      </c>
      <c r="C85" t="s">
        <v>20</v>
      </c>
      <c r="D85" t="s">
        <v>21</v>
      </c>
      <c r="E85" t="s">
        <v>22</v>
      </c>
      <c r="F85" t="s">
        <v>23</v>
      </c>
      <c r="G85" t="s">
        <v>24</v>
      </c>
      <c r="H85" t="s">
        <v>91</v>
      </c>
      <c r="I85" t="s">
        <v>45</v>
      </c>
    </row>
    <row r="86" spans="1:23" x14ac:dyDescent="0.3">
      <c r="A86">
        <v>301</v>
      </c>
      <c r="B86" t="s">
        <v>1</v>
      </c>
      <c r="C86" t="s">
        <v>2</v>
      </c>
      <c r="D86" t="s">
        <v>3</v>
      </c>
      <c r="E86">
        <v>2</v>
      </c>
      <c r="F86">
        <v>45000</v>
      </c>
      <c r="G86" t="s">
        <v>4</v>
      </c>
      <c r="I86" t="str">
        <f>TEXT(H86,"mmm")</f>
        <v>Jan</v>
      </c>
    </row>
    <row r="87" spans="1:23" x14ac:dyDescent="0.3">
      <c r="A87">
        <v>302</v>
      </c>
      <c r="B87" t="s">
        <v>5</v>
      </c>
      <c r="C87" t="s">
        <v>6</v>
      </c>
      <c r="D87" t="s">
        <v>7</v>
      </c>
      <c r="E87">
        <v>5</v>
      </c>
      <c r="F87">
        <v>15000</v>
      </c>
      <c r="G87" t="s">
        <v>8</v>
      </c>
      <c r="I87" t="str">
        <f t="shared" ref="I87:I91" si="5">TEXT(G87,"mmm")</f>
        <v>Jan</v>
      </c>
    </row>
    <row r="88" spans="1:23" x14ac:dyDescent="0.3">
      <c r="A88">
        <v>303</v>
      </c>
      <c r="B88" t="s">
        <v>9</v>
      </c>
      <c r="C88" t="s">
        <v>10</v>
      </c>
      <c r="D88" t="s">
        <v>11</v>
      </c>
      <c r="E88">
        <v>3</v>
      </c>
      <c r="F88">
        <v>18000</v>
      </c>
      <c r="G88" t="s">
        <v>12</v>
      </c>
      <c r="I88" t="str">
        <f t="shared" si="5"/>
        <v>Jan</v>
      </c>
    </row>
    <row r="89" spans="1:23" x14ac:dyDescent="0.3">
      <c r="A89">
        <v>304</v>
      </c>
      <c r="B89" t="s">
        <v>13</v>
      </c>
      <c r="C89" t="s">
        <v>14</v>
      </c>
      <c r="D89" t="s">
        <v>3</v>
      </c>
      <c r="E89">
        <v>1</v>
      </c>
      <c r="F89">
        <v>45000</v>
      </c>
      <c r="G89" t="s">
        <v>15</v>
      </c>
      <c r="I89" t="str">
        <f t="shared" si="5"/>
        <v>Jan</v>
      </c>
    </row>
    <row r="90" spans="1:23" x14ac:dyDescent="0.3">
      <c r="A90">
        <v>305</v>
      </c>
      <c r="B90" t="s">
        <v>1</v>
      </c>
      <c r="C90" t="s">
        <v>2</v>
      </c>
      <c r="D90" t="s">
        <v>7</v>
      </c>
      <c r="E90">
        <v>4</v>
      </c>
      <c r="F90">
        <v>15000</v>
      </c>
      <c r="G90" t="s">
        <v>16</v>
      </c>
      <c r="I90" t="str">
        <f t="shared" si="5"/>
        <v>Jan</v>
      </c>
    </row>
    <row r="91" spans="1:23" x14ac:dyDescent="0.3">
      <c r="A91">
        <v>306</v>
      </c>
      <c r="B91" t="s">
        <v>5</v>
      </c>
      <c r="C91" t="s">
        <v>6</v>
      </c>
      <c r="D91" t="s">
        <v>3</v>
      </c>
      <c r="E91">
        <v>2</v>
      </c>
      <c r="F91">
        <v>45000</v>
      </c>
      <c r="G91" t="s">
        <v>17</v>
      </c>
      <c r="I91" t="str">
        <f t="shared" si="5"/>
        <v>Jan</v>
      </c>
    </row>
    <row r="94" spans="1:23" x14ac:dyDescent="0.3">
      <c r="L94" t="s">
        <v>46</v>
      </c>
    </row>
    <row r="95" spans="1:23" x14ac:dyDescent="0.3">
      <c r="L95" s="5" t="s">
        <v>18</v>
      </c>
      <c r="M95" s="6" t="s">
        <v>19</v>
      </c>
      <c r="N95" s="6" t="s">
        <v>20</v>
      </c>
      <c r="O95" s="6" t="s">
        <v>21</v>
      </c>
      <c r="P95" s="6" t="s">
        <v>22</v>
      </c>
      <c r="Q95" s="6" t="s">
        <v>23</v>
      </c>
      <c r="R95" s="6" t="s">
        <v>24</v>
      </c>
      <c r="S95" s="6"/>
      <c r="T95" s="6" t="s">
        <v>25</v>
      </c>
      <c r="U95" s="6" t="s">
        <v>89</v>
      </c>
      <c r="V95" s="6" t="s">
        <v>30</v>
      </c>
      <c r="W95" s="7" t="s">
        <v>90</v>
      </c>
    </row>
    <row r="96" spans="1:23" x14ac:dyDescent="0.3">
      <c r="A96" t="s">
        <v>47</v>
      </c>
      <c r="L96" s="8">
        <v>301</v>
      </c>
      <c r="M96" s="9" t="s">
        <v>1</v>
      </c>
      <c r="N96" s="9" t="s">
        <v>2</v>
      </c>
      <c r="O96" s="9" t="s">
        <v>3</v>
      </c>
      <c r="P96" s="9">
        <v>2</v>
      </c>
      <c r="Q96" s="9">
        <v>45000</v>
      </c>
      <c r="R96" s="9" t="s">
        <v>4</v>
      </c>
      <c r="S96" s="9"/>
      <c r="T96" s="9">
        <f>P96*Q96</f>
        <v>90000</v>
      </c>
      <c r="U96" s="11">
        <v>0.18</v>
      </c>
      <c r="V96" s="9">
        <f>T96*U96</f>
        <v>16200</v>
      </c>
      <c r="W96" s="10">
        <f t="shared" ref="W96:W101" si="6">T96+V96</f>
        <v>106200</v>
      </c>
    </row>
    <row r="97" spans="1:23" x14ac:dyDescent="0.3">
      <c r="L97" s="5">
        <v>302</v>
      </c>
      <c r="M97" s="6" t="s">
        <v>5</v>
      </c>
      <c r="N97" s="6" t="s">
        <v>6</v>
      </c>
      <c r="O97" s="6" t="s">
        <v>7</v>
      </c>
      <c r="P97" s="6">
        <v>5</v>
      </c>
      <c r="Q97" s="6">
        <v>15000</v>
      </c>
      <c r="R97" s="6" t="s">
        <v>8</v>
      </c>
      <c r="S97" s="6"/>
      <c r="T97" s="6">
        <f t="shared" ref="T97:T101" si="7">P97*Q97</f>
        <v>75000</v>
      </c>
      <c r="U97" s="12">
        <v>0.12</v>
      </c>
      <c r="V97" s="6">
        <f t="shared" ref="V97:V101" si="8">T97*U97</f>
        <v>9000</v>
      </c>
      <c r="W97" s="7">
        <f t="shared" si="6"/>
        <v>84000</v>
      </c>
    </row>
    <row r="98" spans="1:23" x14ac:dyDescent="0.3">
      <c r="A98" t="s">
        <v>91</v>
      </c>
      <c r="B98" t="s">
        <v>93</v>
      </c>
      <c r="C98" t="s">
        <v>94</v>
      </c>
      <c r="D98" t="s">
        <v>95</v>
      </c>
      <c r="E98" t="s">
        <v>96</v>
      </c>
      <c r="F98" t="s">
        <v>97</v>
      </c>
      <c r="G98" t="s">
        <v>98</v>
      </c>
      <c r="H98" t="s">
        <v>99</v>
      </c>
      <c r="L98" s="8">
        <v>303</v>
      </c>
      <c r="M98" s="9" t="s">
        <v>9</v>
      </c>
      <c r="N98" s="9" t="s">
        <v>10</v>
      </c>
      <c r="O98" s="9" t="s">
        <v>11</v>
      </c>
      <c r="P98" s="9">
        <v>3</v>
      </c>
      <c r="Q98" s="9">
        <v>18000</v>
      </c>
      <c r="R98" s="9" t="s">
        <v>12</v>
      </c>
      <c r="S98" s="9"/>
      <c r="T98" s="9">
        <f t="shared" si="7"/>
        <v>54000</v>
      </c>
      <c r="U98" s="11">
        <v>0.12</v>
      </c>
      <c r="V98" s="9">
        <f t="shared" si="8"/>
        <v>6480</v>
      </c>
      <c r="W98" s="7">
        <f t="shared" si="6"/>
        <v>60480</v>
      </c>
    </row>
    <row r="99" spans="1:23" x14ac:dyDescent="0.3">
      <c r="A99" t="s">
        <v>48</v>
      </c>
      <c r="B99" t="s">
        <v>49</v>
      </c>
      <c r="C99" t="s">
        <v>50</v>
      </c>
      <c r="D99" t="s">
        <v>51</v>
      </c>
      <c r="E99" t="s">
        <v>52</v>
      </c>
      <c r="F99" t="s">
        <v>53</v>
      </c>
      <c r="H99" t="s">
        <v>59</v>
      </c>
      <c r="L99" s="5">
        <v>304</v>
      </c>
      <c r="M99" s="6" t="s">
        <v>13</v>
      </c>
      <c r="N99" s="6" t="s">
        <v>14</v>
      </c>
      <c r="O99" s="6" t="s">
        <v>3</v>
      </c>
      <c r="P99" s="6">
        <v>1</v>
      </c>
      <c r="Q99" s="6">
        <v>45000</v>
      </c>
      <c r="R99" s="6" t="s">
        <v>15</v>
      </c>
      <c r="S99" s="6"/>
      <c r="T99" s="6">
        <f t="shared" si="7"/>
        <v>45000</v>
      </c>
      <c r="U99" s="12">
        <v>0.18</v>
      </c>
      <c r="V99" s="6">
        <f t="shared" si="8"/>
        <v>8100</v>
      </c>
      <c r="W99" s="10">
        <f t="shared" si="6"/>
        <v>53100</v>
      </c>
    </row>
    <row r="100" spans="1:23" x14ac:dyDescent="0.3">
      <c r="A100">
        <v>1</v>
      </c>
      <c r="B100" t="s">
        <v>54</v>
      </c>
      <c r="C100">
        <v>78</v>
      </c>
      <c r="D100">
        <v>82</v>
      </c>
      <c r="E100">
        <v>85</v>
      </c>
      <c r="F100">
        <v>92</v>
      </c>
      <c r="H100">
        <f>AVERAGE(C100,D100,E100)</f>
        <v>81.666666666666671</v>
      </c>
      <c r="L100" s="8">
        <v>305</v>
      </c>
      <c r="M100" s="9" t="s">
        <v>1</v>
      </c>
      <c r="N100" s="9" t="s">
        <v>2</v>
      </c>
      <c r="O100" s="9" t="s">
        <v>7</v>
      </c>
      <c r="P100" s="9">
        <v>4</v>
      </c>
      <c r="Q100" s="9">
        <v>15000</v>
      </c>
      <c r="R100" s="9" t="s">
        <v>16</v>
      </c>
      <c r="S100" s="9"/>
      <c r="T100" s="9">
        <f t="shared" si="7"/>
        <v>60000</v>
      </c>
      <c r="U100" s="11">
        <v>0.12</v>
      </c>
      <c r="V100" s="9">
        <f t="shared" si="8"/>
        <v>7200</v>
      </c>
      <c r="W100" s="10">
        <f t="shared" si="6"/>
        <v>67200</v>
      </c>
    </row>
    <row r="101" spans="1:23" x14ac:dyDescent="0.3">
      <c r="A101">
        <v>2</v>
      </c>
      <c r="B101" t="s">
        <v>55</v>
      </c>
      <c r="C101">
        <v>88</v>
      </c>
      <c r="D101">
        <v>91</v>
      </c>
      <c r="E101">
        <v>90</v>
      </c>
      <c r="F101">
        <v>96</v>
      </c>
      <c r="H101">
        <f t="shared" ref="H101:H104" si="9">AVERAGE(C101,D101,E101)</f>
        <v>89.666666666666671</v>
      </c>
      <c r="L101" s="5">
        <v>306</v>
      </c>
      <c r="M101" s="6" t="s">
        <v>5</v>
      </c>
      <c r="N101" s="6" t="s">
        <v>6</v>
      </c>
      <c r="O101" s="6" t="s">
        <v>3</v>
      </c>
      <c r="P101" s="6">
        <v>2</v>
      </c>
      <c r="Q101" s="6">
        <v>45000</v>
      </c>
      <c r="R101" s="6" t="s">
        <v>17</v>
      </c>
      <c r="S101" s="6"/>
      <c r="T101" s="6">
        <f t="shared" si="7"/>
        <v>90000</v>
      </c>
      <c r="U101" s="12">
        <v>0.18</v>
      </c>
      <c r="V101" s="6">
        <f t="shared" si="8"/>
        <v>16200</v>
      </c>
      <c r="W101" s="7">
        <f t="shared" si="6"/>
        <v>106200</v>
      </c>
    </row>
    <row r="102" spans="1:23" x14ac:dyDescent="0.3">
      <c r="A102">
        <v>3</v>
      </c>
      <c r="B102" t="s">
        <v>56</v>
      </c>
      <c r="C102">
        <v>65</v>
      </c>
      <c r="D102">
        <v>70</v>
      </c>
      <c r="E102">
        <v>72</v>
      </c>
      <c r="F102">
        <v>85</v>
      </c>
      <c r="H102">
        <f t="shared" si="9"/>
        <v>69</v>
      </c>
    </row>
    <row r="103" spans="1:23" x14ac:dyDescent="0.3">
      <c r="A103">
        <v>4</v>
      </c>
      <c r="B103" t="s">
        <v>57</v>
      </c>
      <c r="C103">
        <v>92</v>
      </c>
      <c r="D103">
        <v>89</v>
      </c>
      <c r="E103">
        <v>94</v>
      </c>
      <c r="F103">
        <v>98</v>
      </c>
      <c r="H103">
        <f t="shared" si="9"/>
        <v>91.666666666666671</v>
      </c>
    </row>
    <row r="104" spans="1:23" x14ac:dyDescent="0.3">
      <c r="A104">
        <v>5</v>
      </c>
      <c r="B104" t="s">
        <v>58</v>
      </c>
      <c r="C104">
        <v>55</v>
      </c>
      <c r="D104">
        <v>60</v>
      </c>
      <c r="E104">
        <v>58</v>
      </c>
      <c r="F104">
        <v>80</v>
      </c>
      <c r="H104">
        <f t="shared" si="9"/>
        <v>57.666666666666664</v>
      </c>
    </row>
    <row r="107" spans="1:23" x14ac:dyDescent="0.3">
      <c r="A107" t="s">
        <v>60</v>
      </c>
    </row>
    <row r="109" spans="1:23" x14ac:dyDescent="0.3">
      <c r="A109" t="s">
        <v>91</v>
      </c>
      <c r="B109" t="s">
        <v>93</v>
      </c>
      <c r="C109" t="s">
        <v>94</v>
      </c>
      <c r="D109" t="s">
        <v>95</v>
      </c>
      <c r="E109" t="s">
        <v>96</v>
      </c>
      <c r="F109" t="s">
        <v>97</v>
      </c>
      <c r="G109" t="s">
        <v>98</v>
      </c>
      <c r="H109" t="s">
        <v>99</v>
      </c>
      <c r="J109" t="s">
        <v>92</v>
      </c>
    </row>
    <row r="110" spans="1:23" x14ac:dyDescent="0.3">
      <c r="A110" t="s">
        <v>48</v>
      </c>
      <c r="B110" t="s">
        <v>49</v>
      </c>
      <c r="C110" t="s">
        <v>50</v>
      </c>
      <c r="D110" t="s">
        <v>51</v>
      </c>
      <c r="E110" t="s">
        <v>52</v>
      </c>
      <c r="F110" t="s">
        <v>53</v>
      </c>
      <c r="H110" t="s">
        <v>59</v>
      </c>
      <c r="J110" t="s">
        <v>57</v>
      </c>
      <c r="K110">
        <f>MAX(H111:H115)</f>
        <v>91.666666666666671</v>
      </c>
    </row>
    <row r="111" spans="1:23" x14ac:dyDescent="0.3">
      <c r="A111">
        <v>1</v>
      </c>
      <c r="B111" t="s">
        <v>54</v>
      </c>
      <c r="C111">
        <v>78</v>
      </c>
      <c r="D111">
        <v>82</v>
      </c>
      <c r="E111">
        <v>85</v>
      </c>
      <c r="F111">
        <v>92</v>
      </c>
      <c r="H111">
        <f>AVERAGE(C111,D111,E111)</f>
        <v>81.666666666666671</v>
      </c>
    </row>
    <row r="112" spans="1:23" x14ac:dyDescent="0.3">
      <c r="A112">
        <v>2</v>
      </c>
      <c r="B112" t="s">
        <v>55</v>
      </c>
      <c r="C112">
        <v>88</v>
      </c>
      <c r="D112">
        <v>91</v>
      </c>
      <c r="E112">
        <v>90</v>
      </c>
      <c r="F112">
        <v>96</v>
      </c>
      <c r="H112">
        <f t="shared" ref="H112:H115" si="10">AVERAGE(C112,D112,E112)</f>
        <v>89.666666666666671</v>
      </c>
    </row>
    <row r="113" spans="1:11" x14ac:dyDescent="0.3">
      <c r="A113">
        <v>3</v>
      </c>
      <c r="B113" t="s">
        <v>56</v>
      </c>
      <c r="C113">
        <v>65</v>
      </c>
      <c r="D113">
        <v>70</v>
      </c>
      <c r="E113">
        <v>72</v>
      </c>
      <c r="F113">
        <v>85</v>
      </c>
      <c r="H113">
        <f t="shared" si="10"/>
        <v>69</v>
      </c>
    </row>
    <row r="114" spans="1:11" x14ac:dyDescent="0.3">
      <c r="A114">
        <v>4</v>
      </c>
      <c r="B114" t="s">
        <v>57</v>
      </c>
      <c r="C114">
        <v>92</v>
      </c>
      <c r="D114">
        <v>89</v>
      </c>
      <c r="E114">
        <v>94</v>
      </c>
      <c r="F114">
        <v>98</v>
      </c>
      <c r="H114">
        <f t="shared" si="10"/>
        <v>91.666666666666671</v>
      </c>
    </row>
    <row r="115" spans="1:11" x14ac:dyDescent="0.3">
      <c r="A115">
        <v>5</v>
      </c>
      <c r="B115" t="s">
        <v>58</v>
      </c>
      <c r="C115">
        <v>55</v>
      </c>
      <c r="D115">
        <v>60</v>
      </c>
      <c r="E115">
        <v>58</v>
      </c>
      <c r="F115">
        <v>80</v>
      </c>
      <c r="H115">
        <f t="shared" si="10"/>
        <v>57.666666666666664</v>
      </c>
    </row>
    <row r="116" spans="1:11" x14ac:dyDescent="0.3">
      <c r="A116" t="s">
        <v>61</v>
      </c>
    </row>
    <row r="118" spans="1:11" x14ac:dyDescent="0.3">
      <c r="A118" t="s">
        <v>91</v>
      </c>
      <c r="B118" t="s">
        <v>93</v>
      </c>
      <c r="C118" t="s">
        <v>94</v>
      </c>
      <c r="D118" t="s">
        <v>95</v>
      </c>
      <c r="E118" t="s">
        <v>96</v>
      </c>
      <c r="F118" t="s">
        <v>97</v>
      </c>
      <c r="G118" t="s">
        <v>98</v>
      </c>
      <c r="H118" t="s">
        <v>99</v>
      </c>
      <c r="J118" t="s">
        <v>62</v>
      </c>
    </row>
    <row r="119" spans="1:11" x14ac:dyDescent="0.3">
      <c r="A119" t="s">
        <v>48</v>
      </c>
      <c r="B119" t="s">
        <v>49</v>
      </c>
      <c r="C119" t="s">
        <v>50</v>
      </c>
      <c r="D119" t="s">
        <v>51</v>
      </c>
      <c r="E119" t="s">
        <v>52</v>
      </c>
      <c r="F119" t="s">
        <v>53</v>
      </c>
      <c r="H119" t="s">
        <v>59</v>
      </c>
      <c r="J119">
        <f>COUNTIF(H120:H124,"&gt;90")</f>
        <v>1</v>
      </c>
      <c r="K119" t="s">
        <v>57</v>
      </c>
    </row>
    <row r="120" spans="1:11" x14ac:dyDescent="0.3">
      <c r="A120">
        <v>1</v>
      </c>
      <c r="B120" t="s">
        <v>54</v>
      </c>
      <c r="C120">
        <v>78</v>
      </c>
      <c r="D120">
        <v>82</v>
      </c>
      <c r="E120">
        <v>85</v>
      </c>
      <c r="F120">
        <v>92</v>
      </c>
      <c r="H120">
        <f>AVERAGE(C120,D120,E120)</f>
        <v>81.666666666666671</v>
      </c>
    </row>
    <row r="121" spans="1:11" x14ac:dyDescent="0.3">
      <c r="A121">
        <v>2</v>
      </c>
      <c r="B121" t="s">
        <v>55</v>
      </c>
      <c r="C121">
        <v>88</v>
      </c>
      <c r="D121">
        <v>91</v>
      </c>
      <c r="E121">
        <v>90</v>
      </c>
      <c r="F121">
        <v>96</v>
      </c>
      <c r="H121">
        <f t="shared" ref="H121:H124" si="11">AVERAGE(C121,D121,E121)</f>
        <v>89.666666666666671</v>
      </c>
    </row>
    <row r="122" spans="1:11" x14ac:dyDescent="0.3">
      <c r="A122">
        <v>3</v>
      </c>
      <c r="B122" t="s">
        <v>56</v>
      </c>
      <c r="C122">
        <v>65</v>
      </c>
      <c r="D122">
        <v>70</v>
      </c>
      <c r="E122">
        <v>72</v>
      </c>
      <c r="F122">
        <v>85</v>
      </c>
      <c r="H122">
        <f t="shared" si="11"/>
        <v>69</v>
      </c>
    </row>
    <row r="123" spans="1:11" x14ac:dyDescent="0.3">
      <c r="A123">
        <v>4</v>
      </c>
      <c r="B123" t="s">
        <v>57</v>
      </c>
      <c r="C123">
        <v>92</v>
      </c>
      <c r="D123">
        <v>89</v>
      </c>
      <c r="E123">
        <v>94</v>
      </c>
      <c r="F123">
        <v>98</v>
      </c>
      <c r="H123">
        <f t="shared" si="11"/>
        <v>91.666666666666671</v>
      </c>
    </row>
    <row r="124" spans="1:11" x14ac:dyDescent="0.3">
      <c r="A124">
        <v>5</v>
      </c>
      <c r="B124" t="s">
        <v>58</v>
      </c>
      <c r="C124">
        <v>55</v>
      </c>
      <c r="D124">
        <v>60</v>
      </c>
      <c r="E124">
        <v>58</v>
      </c>
      <c r="F124">
        <v>80</v>
      </c>
      <c r="H124">
        <f t="shared" si="11"/>
        <v>57.666666666666664</v>
      </c>
    </row>
    <row r="125" spans="1:11" x14ac:dyDescent="0.3">
      <c r="A125" t="s">
        <v>63</v>
      </c>
    </row>
    <row r="127" spans="1:11" x14ac:dyDescent="0.3">
      <c r="A127" t="s">
        <v>91</v>
      </c>
      <c r="B127" t="s">
        <v>93</v>
      </c>
      <c r="C127" t="s">
        <v>94</v>
      </c>
      <c r="D127" t="s">
        <v>95</v>
      </c>
      <c r="E127" t="s">
        <v>96</v>
      </c>
      <c r="F127" t="s">
        <v>97</v>
      </c>
      <c r="G127" t="s">
        <v>98</v>
      </c>
      <c r="H127" t="s">
        <v>99</v>
      </c>
      <c r="I127" t="s">
        <v>100</v>
      </c>
    </row>
    <row r="128" spans="1:11" x14ac:dyDescent="0.3">
      <c r="A128" t="s">
        <v>48</v>
      </c>
      <c r="B128" t="s">
        <v>49</v>
      </c>
      <c r="C128" t="s">
        <v>50</v>
      </c>
      <c r="D128" t="s">
        <v>51</v>
      </c>
      <c r="E128" t="s">
        <v>52</v>
      </c>
      <c r="F128" t="s">
        <v>53</v>
      </c>
      <c r="H128" t="s">
        <v>59</v>
      </c>
      <c r="I128" t="s">
        <v>65</v>
      </c>
    </row>
    <row r="129" spans="1:13" x14ac:dyDescent="0.3">
      <c r="A129">
        <v>1</v>
      </c>
      <c r="B129" t="s">
        <v>54</v>
      </c>
      <c r="C129">
        <v>78</v>
      </c>
      <c r="D129">
        <v>82</v>
      </c>
      <c r="E129">
        <v>85</v>
      </c>
      <c r="F129">
        <v>92</v>
      </c>
      <c r="H129">
        <f>AVERAGE(C129,D129,E129)</f>
        <v>81.666666666666671</v>
      </c>
      <c r="I129" t="str">
        <f>IF(F129&gt;=85, "Eligible", "Not Eligible")</f>
        <v>Eligible</v>
      </c>
    </row>
    <row r="130" spans="1:13" x14ac:dyDescent="0.3">
      <c r="A130">
        <v>2</v>
      </c>
      <c r="B130" t="s">
        <v>55</v>
      </c>
      <c r="C130">
        <v>88</v>
      </c>
      <c r="D130">
        <v>91</v>
      </c>
      <c r="E130">
        <v>90</v>
      </c>
      <c r="F130">
        <v>96</v>
      </c>
      <c r="H130">
        <f t="shared" ref="H130:H133" si="12">AVERAGE(C130,D130,E130)</f>
        <v>89.666666666666671</v>
      </c>
      <c r="I130" t="str">
        <f t="shared" ref="I130:I133" si="13">IF(F130&gt;=85, "Eligible", "Not Eligible")</f>
        <v>Eligible</v>
      </c>
    </row>
    <row r="131" spans="1:13" x14ac:dyDescent="0.3">
      <c r="A131">
        <v>3</v>
      </c>
      <c r="B131" t="s">
        <v>56</v>
      </c>
      <c r="C131">
        <v>65</v>
      </c>
      <c r="D131">
        <v>70</v>
      </c>
      <c r="E131">
        <v>72</v>
      </c>
      <c r="F131">
        <v>85</v>
      </c>
      <c r="H131">
        <f t="shared" si="12"/>
        <v>69</v>
      </c>
      <c r="I131" t="str">
        <f t="shared" si="13"/>
        <v>Eligible</v>
      </c>
    </row>
    <row r="132" spans="1:13" x14ac:dyDescent="0.3">
      <c r="A132">
        <v>4</v>
      </c>
      <c r="B132" t="s">
        <v>57</v>
      </c>
      <c r="C132">
        <v>92</v>
      </c>
      <c r="D132">
        <v>89</v>
      </c>
      <c r="E132">
        <v>94</v>
      </c>
      <c r="F132">
        <v>98</v>
      </c>
      <c r="H132">
        <f t="shared" si="12"/>
        <v>91.666666666666671</v>
      </c>
      <c r="I132" t="str">
        <f t="shared" si="13"/>
        <v>Eligible</v>
      </c>
    </row>
    <row r="133" spans="1:13" x14ac:dyDescent="0.3">
      <c r="A133">
        <v>5</v>
      </c>
      <c r="B133" t="s">
        <v>58</v>
      </c>
      <c r="C133">
        <v>55</v>
      </c>
      <c r="D133">
        <v>60</v>
      </c>
      <c r="E133">
        <v>58</v>
      </c>
      <c r="F133">
        <v>80</v>
      </c>
      <c r="H133">
        <f t="shared" si="12"/>
        <v>57.666666666666664</v>
      </c>
      <c r="I133" t="str">
        <f t="shared" si="13"/>
        <v>Not Eligible</v>
      </c>
    </row>
    <row r="134" spans="1:13" x14ac:dyDescent="0.3">
      <c r="A134" t="s">
        <v>66</v>
      </c>
    </row>
    <row r="136" spans="1:13" x14ac:dyDescent="0.3">
      <c r="A136" t="s">
        <v>21</v>
      </c>
      <c r="B136" t="s">
        <v>27</v>
      </c>
      <c r="C136" t="s">
        <v>28</v>
      </c>
    </row>
    <row r="137" spans="1:13" x14ac:dyDescent="0.3">
      <c r="A137" t="s">
        <v>3</v>
      </c>
      <c r="B137" t="s">
        <v>29</v>
      </c>
      <c r="C137">
        <v>18</v>
      </c>
    </row>
    <row r="138" spans="1:13" x14ac:dyDescent="0.3">
      <c r="A138" t="s">
        <v>7</v>
      </c>
      <c r="B138" t="s">
        <v>29</v>
      </c>
      <c r="C138">
        <v>12</v>
      </c>
    </row>
    <row r="139" spans="1:13" x14ac:dyDescent="0.3">
      <c r="A139" t="s">
        <v>11</v>
      </c>
      <c r="B139" t="s">
        <v>29</v>
      </c>
      <c r="C139">
        <v>12</v>
      </c>
      <c r="J139" s="2" t="s">
        <v>67</v>
      </c>
      <c r="K139" t="s">
        <v>73</v>
      </c>
      <c r="L139" t="s">
        <v>74</v>
      </c>
      <c r="M139" t="s">
        <v>75</v>
      </c>
    </row>
    <row r="140" spans="1:13" x14ac:dyDescent="0.3">
      <c r="J140" s="3" t="s">
        <v>56</v>
      </c>
      <c r="K140">
        <v>72</v>
      </c>
      <c r="L140">
        <v>65</v>
      </c>
      <c r="M140">
        <v>70</v>
      </c>
    </row>
    <row r="141" spans="1:13" x14ac:dyDescent="0.3">
      <c r="B141" s="2" t="s">
        <v>67</v>
      </c>
      <c r="C141" t="s">
        <v>69</v>
      </c>
      <c r="J141" s="3" t="s">
        <v>57</v>
      </c>
      <c r="K141">
        <v>94</v>
      </c>
      <c r="L141">
        <v>92</v>
      </c>
      <c r="M141">
        <v>89</v>
      </c>
    </row>
    <row r="142" spans="1:13" x14ac:dyDescent="0.3">
      <c r="B142" s="3" t="s">
        <v>3</v>
      </c>
      <c r="C142">
        <v>225000</v>
      </c>
      <c r="J142" s="3" t="s">
        <v>54</v>
      </c>
      <c r="K142">
        <v>85</v>
      </c>
      <c r="L142">
        <v>78</v>
      </c>
      <c r="M142">
        <v>82</v>
      </c>
    </row>
    <row r="143" spans="1:13" x14ac:dyDescent="0.3">
      <c r="B143" s="3" t="s">
        <v>7</v>
      </c>
      <c r="C143">
        <v>135000</v>
      </c>
      <c r="J143" s="3" t="s">
        <v>55</v>
      </c>
      <c r="K143">
        <v>90</v>
      </c>
      <c r="L143">
        <v>88</v>
      </c>
      <c r="M143">
        <v>91</v>
      </c>
    </row>
    <row r="144" spans="1:13" x14ac:dyDescent="0.3">
      <c r="B144" s="3" t="s">
        <v>11</v>
      </c>
      <c r="C144">
        <v>54000</v>
      </c>
      <c r="J144" s="3" t="s">
        <v>58</v>
      </c>
      <c r="K144">
        <v>58</v>
      </c>
      <c r="L144">
        <v>55</v>
      </c>
      <c r="M144">
        <v>60</v>
      </c>
    </row>
    <row r="145" spans="1:13" x14ac:dyDescent="0.3">
      <c r="B145" s="3" t="s">
        <v>68</v>
      </c>
      <c r="C145">
        <v>414000</v>
      </c>
      <c r="J145" s="3" t="s">
        <v>68</v>
      </c>
      <c r="K145">
        <v>399</v>
      </c>
      <c r="L145">
        <v>378</v>
      </c>
      <c r="M145">
        <v>392</v>
      </c>
    </row>
    <row r="147" spans="1:13" x14ac:dyDescent="0.3">
      <c r="A147" t="s">
        <v>70</v>
      </c>
    </row>
    <row r="149" spans="1:13" x14ac:dyDescent="0.3">
      <c r="B149" s="2" t="s">
        <v>67</v>
      </c>
      <c r="C149" t="s">
        <v>69</v>
      </c>
    </row>
    <row r="150" spans="1:13" x14ac:dyDescent="0.3">
      <c r="B150" s="3" t="s">
        <v>9</v>
      </c>
      <c r="C150">
        <v>54000</v>
      </c>
    </row>
    <row r="151" spans="1:13" x14ac:dyDescent="0.3">
      <c r="B151" s="3" t="s">
        <v>1</v>
      </c>
      <c r="C151">
        <v>150000</v>
      </c>
    </row>
    <row r="152" spans="1:13" x14ac:dyDescent="0.3">
      <c r="B152" s="3" t="s">
        <v>5</v>
      </c>
      <c r="C152">
        <v>165000</v>
      </c>
    </row>
    <row r="153" spans="1:13" x14ac:dyDescent="0.3">
      <c r="B153" s="3" t="s">
        <v>13</v>
      </c>
      <c r="C153">
        <v>45000</v>
      </c>
    </row>
    <row r="154" spans="1:13" x14ac:dyDescent="0.3">
      <c r="B154" s="3" t="s">
        <v>68</v>
      </c>
      <c r="C154">
        <v>414000</v>
      </c>
    </row>
    <row r="156" spans="1:13" x14ac:dyDescent="0.3">
      <c r="A156" t="s">
        <v>71</v>
      </c>
    </row>
    <row r="169" spans="1:4" x14ac:dyDescent="0.3">
      <c r="A169" t="s">
        <v>72</v>
      </c>
    </row>
    <row r="171" spans="1:4" x14ac:dyDescent="0.3">
      <c r="A171" s="2" t="s">
        <v>67</v>
      </c>
      <c r="B171" s="2" t="s">
        <v>73</v>
      </c>
      <c r="C171" t="s">
        <v>74</v>
      </c>
      <c r="D171" t="s">
        <v>75</v>
      </c>
    </row>
    <row r="172" spans="1:4" x14ac:dyDescent="0.3">
      <c r="A172" s="3" t="s">
        <v>56</v>
      </c>
      <c r="B172">
        <v>72</v>
      </c>
      <c r="C172">
        <v>65</v>
      </c>
      <c r="D172">
        <v>70</v>
      </c>
    </row>
    <row r="173" spans="1:4" x14ac:dyDescent="0.3">
      <c r="A173" s="3" t="s">
        <v>57</v>
      </c>
      <c r="B173">
        <v>94</v>
      </c>
      <c r="C173">
        <v>92</v>
      </c>
      <c r="D173">
        <v>89</v>
      </c>
    </row>
    <row r="174" spans="1:4" x14ac:dyDescent="0.3">
      <c r="A174" s="3" t="s">
        <v>54</v>
      </c>
      <c r="B174">
        <v>85</v>
      </c>
      <c r="C174">
        <v>78</v>
      </c>
      <c r="D174">
        <v>82</v>
      </c>
    </row>
    <row r="175" spans="1:4" x14ac:dyDescent="0.3">
      <c r="A175" s="3" t="s">
        <v>55</v>
      </c>
      <c r="B175">
        <v>90</v>
      </c>
      <c r="C175">
        <v>88</v>
      </c>
      <c r="D175">
        <v>91</v>
      </c>
    </row>
    <row r="176" spans="1:4" x14ac:dyDescent="0.3">
      <c r="A176" s="3" t="s">
        <v>58</v>
      </c>
      <c r="B176">
        <v>58</v>
      </c>
      <c r="C176">
        <v>55</v>
      </c>
      <c r="D176">
        <v>60</v>
      </c>
    </row>
    <row r="177" spans="1:4" x14ac:dyDescent="0.3">
      <c r="A177" s="3" t="s">
        <v>68</v>
      </c>
      <c r="B177">
        <v>399</v>
      </c>
      <c r="C177">
        <v>378</v>
      </c>
      <c r="D177">
        <v>392</v>
      </c>
    </row>
    <row r="194" spans="1:2" x14ac:dyDescent="0.3">
      <c r="A194" t="s">
        <v>76</v>
      </c>
    </row>
    <row r="196" spans="1:2" x14ac:dyDescent="0.3">
      <c r="A196" t="s">
        <v>77</v>
      </c>
    </row>
    <row r="197" spans="1:2" x14ac:dyDescent="0.3">
      <c r="A197">
        <f>MEDIAN(D172:D176)</f>
        <v>82</v>
      </c>
    </row>
    <row r="199" spans="1:2" x14ac:dyDescent="0.3">
      <c r="A199" t="s">
        <v>78</v>
      </c>
    </row>
    <row r="201" spans="1:2" x14ac:dyDescent="0.3">
      <c r="A201">
        <f>_xlfn.STDEV.S(B172:B176)</f>
        <v>14.737706741552426</v>
      </c>
      <c r="B201" t="s">
        <v>79</v>
      </c>
    </row>
    <row r="204" spans="1:2" x14ac:dyDescent="0.3">
      <c r="A204" t="s">
        <v>80</v>
      </c>
    </row>
    <row r="206" spans="1:2" x14ac:dyDescent="0.3">
      <c r="A206" t="str">
        <f>_xlfn.CONCAT(A111,B111)</f>
        <v>1Rahul</v>
      </c>
    </row>
    <row r="208" spans="1:2" x14ac:dyDescent="0.3">
      <c r="A208" t="s">
        <v>81</v>
      </c>
    </row>
    <row r="210" spans="1:2" x14ac:dyDescent="0.3">
      <c r="A210" t="str">
        <f>LEFT(C86,2)</f>
        <v>Am</v>
      </c>
    </row>
    <row r="212" spans="1:2" x14ac:dyDescent="0.3">
      <c r="A212" t="s">
        <v>82</v>
      </c>
    </row>
    <row r="214" spans="1:2" x14ac:dyDescent="0.3">
      <c r="A214" t="s">
        <v>25</v>
      </c>
    </row>
    <row r="215" spans="1:2" x14ac:dyDescent="0.3">
      <c r="A215">
        <v>90000</v>
      </c>
    </row>
    <row r="216" spans="1:2" x14ac:dyDescent="0.3">
      <c r="A216">
        <v>75000</v>
      </c>
    </row>
    <row r="217" spans="1:2" x14ac:dyDescent="0.3">
      <c r="A217">
        <v>54000</v>
      </c>
    </row>
    <row r="218" spans="1:2" x14ac:dyDescent="0.3">
      <c r="A218">
        <v>45000</v>
      </c>
    </row>
    <row r="219" spans="1:2" x14ac:dyDescent="0.3">
      <c r="A219">
        <v>60000</v>
      </c>
    </row>
    <row r="220" spans="1:2" x14ac:dyDescent="0.3">
      <c r="A220">
        <v>90000</v>
      </c>
    </row>
    <row r="222" spans="1:2" x14ac:dyDescent="0.3">
      <c r="A222" t="s">
        <v>83</v>
      </c>
    </row>
    <row r="223" spans="1:2" x14ac:dyDescent="0.3">
      <c r="A223" t="s">
        <v>21</v>
      </c>
      <c r="B223" t="s">
        <v>22</v>
      </c>
    </row>
    <row r="224" spans="1:2" x14ac:dyDescent="0.3">
      <c r="A224" t="s">
        <v>3</v>
      </c>
      <c r="B224">
        <v>2</v>
      </c>
    </row>
    <row r="225" spans="1:2" hidden="1" x14ac:dyDescent="0.3">
      <c r="A225" t="s">
        <v>7</v>
      </c>
      <c r="B225">
        <v>5</v>
      </c>
    </row>
    <row r="226" spans="1:2" hidden="1" x14ac:dyDescent="0.3">
      <c r="A226" t="s">
        <v>11</v>
      </c>
      <c r="B226">
        <v>3</v>
      </c>
    </row>
    <row r="227" spans="1:2" hidden="1" x14ac:dyDescent="0.3">
      <c r="A227" t="s">
        <v>3</v>
      </c>
      <c r="B227">
        <v>1</v>
      </c>
    </row>
    <row r="228" spans="1:2" hidden="1" x14ac:dyDescent="0.3">
      <c r="A228" t="s">
        <v>7</v>
      </c>
      <c r="B228">
        <v>4</v>
      </c>
    </row>
    <row r="229" spans="1:2" x14ac:dyDescent="0.3">
      <c r="A229" t="s">
        <v>3</v>
      </c>
      <c r="B229">
        <v>2</v>
      </c>
    </row>
    <row r="232" spans="1:2" x14ac:dyDescent="0.3">
      <c r="A232" t="s">
        <v>84</v>
      </c>
    </row>
    <row r="234" spans="1:2" x14ac:dyDescent="0.3">
      <c r="A234" t="s">
        <v>3</v>
      </c>
      <c r="B234">
        <f>COUNTIF(B3:I9, "North")</f>
        <v>2</v>
      </c>
    </row>
    <row r="236" spans="1:2" x14ac:dyDescent="0.3">
      <c r="A236" t="s">
        <v>85</v>
      </c>
    </row>
    <row r="237" spans="1:2" x14ac:dyDescent="0.3">
      <c r="A237" t="s">
        <v>23</v>
      </c>
    </row>
    <row r="238" spans="1:2" x14ac:dyDescent="0.3">
      <c r="A238">
        <v>45000</v>
      </c>
      <c r="B238" cm="1">
        <f t="array" ref="B238:B243">ROUND(A238:A243, 0)</f>
        <v>45000</v>
      </c>
    </row>
    <row r="239" spans="1:2" x14ac:dyDescent="0.3">
      <c r="A239">
        <v>15000</v>
      </c>
      <c r="B239">
        <v>15000</v>
      </c>
    </row>
    <row r="240" spans="1:2" x14ac:dyDescent="0.3">
      <c r="A240">
        <v>18000</v>
      </c>
      <c r="B240">
        <v>18000</v>
      </c>
    </row>
    <row r="241" spans="1:3" x14ac:dyDescent="0.3">
      <c r="A241">
        <v>45000</v>
      </c>
      <c r="B241">
        <v>45000</v>
      </c>
    </row>
    <row r="242" spans="1:3" x14ac:dyDescent="0.3">
      <c r="A242">
        <v>15000</v>
      </c>
      <c r="B242">
        <v>15000</v>
      </c>
    </row>
    <row r="243" spans="1:3" x14ac:dyDescent="0.3">
      <c r="A243">
        <v>45000</v>
      </c>
      <c r="B243">
        <v>45000</v>
      </c>
    </row>
    <row r="246" spans="1:3" x14ac:dyDescent="0.3">
      <c r="A246" t="s">
        <v>86</v>
      </c>
    </row>
    <row r="248" spans="1:3" x14ac:dyDescent="0.3">
      <c r="A248" t="s">
        <v>18</v>
      </c>
      <c r="C248" t="s">
        <v>20</v>
      </c>
    </row>
    <row r="249" spans="1:3" x14ac:dyDescent="0.3">
      <c r="A249">
        <v>301</v>
      </c>
      <c r="C249" t="s">
        <v>2</v>
      </c>
    </row>
    <row r="250" spans="1:3" x14ac:dyDescent="0.3">
      <c r="A250">
        <v>302</v>
      </c>
      <c r="C250" t="s">
        <v>6</v>
      </c>
    </row>
    <row r="251" spans="1:3" x14ac:dyDescent="0.3">
      <c r="A251">
        <v>303</v>
      </c>
      <c r="C251" t="s">
        <v>10</v>
      </c>
    </row>
    <row r="252" spans="1:3" x14ac:dyDescent="0.3">
      <c r="A252">
        <v>304</v>
      </c>
      <c r="C252" t="s">
        <v>14</v>
      </c>
    </row>
    <row r="253" spans="1:3" x14ac:dyDescent="0.3">
      <c r="A253">
        <v>305</v>
      </c>
    </row>
    <row r="254" spans="1:3" x14ac:dyDescent="0.3">
      <c r="A254">
        <v>306</v>
      </c>
    </row>
    <row r="256" spans="1:3" x14ac:dyDescent="0.3">
      <c r="A256" t="s">
        <v>87</v>
      </c>
    </row>
    <row r="258" spans="1:9" x14ac:dyDescent="0.3">
      <c r="A258" t="s">
        <v>91</v>
      </c>
      <c r="B258" t="s">
        <v>93</v>
      </c>
      <c r="C258" t="s">
        <v>94</v>
      </c>
      <c r="D258" t="s">
        <v>95</v>
      </c>
      <c r="E258" t="s">
        <v>96</v>
      </c>
      <c r="F258" t="s">
        <v>97</v>
      </c>
      <c r="G258" t="s">
        <v>98</v>
      </c>
      <c r="H258" t="s">
        <v>99</v>
      </c>
      <c r="I258" t="s">
        <v>100</v>
      </c>
    </row>
    <row r="259" spans="1:9" x14ac:dyDescent="0.3">
      <c r="A259" t="s">
        <v>18</v>
      </c>
      <c r="B259" t="s">
        <v>19</v>
      </c>
      <c r="C259" t="s">
        <v>20</v>
      </c>
      <c r="D259" t="s">
        <v>21</v>
      </c>
      <c r="E259" t="s">
        <v>22</v>
      </c>
      <c r="F259" t="s">
        <v>23</v>
      </c>
      <c r="G259" t="s">
        <v>24</v>
      </c>
      <c r="I259" t="s">
        <v>45</v>
      </c>
    </row>
    <row r="260" spans="1:9" x14ac:dyDescent="0.3">
      <c r="A260">
        <v>301</v>
      </c>
      <c r="B260" t="s">
        <v>1</v>
      </c>
      <c r="C260" t="s">
        <v>2</v>
      </c>
      <c r="D260" t="s">
        <v>3</v>
      </c>
      <c r="E260">
        <v>2</v>
      </c>
      <c r="F260">
        <v>45000</v>
      </c>
      <c r="G260" t="s">
        <v>4</v>
      </c>
      <c r="I260" t="str">
        <f>TEXT(H260,"mmm")</f>
        <v>Jan</v>
      </c>
    </row>
    <row r="261" spans="1:9" x14ac:dyDescent="0.3">
      <c r="A261">
        <v>302</v>
      </c>
      <c r="B261" t="s">
        <v>5</v>
      </c>
      <c r="C261" t="s">
        <v>6</v>
      </c>
      <c r="D261" t="s">
        <v>7</v>
      </c>
      <c r="E261">
        <v>5</v>
      </c>
      <c r="F261">
        <v>15000</v>
      </c>
      <c r="G261" t="s">
        <v>8</v>
      </c>
      <c r="I261" t="str">
        <f t="shared" ref="I261:I265" si="14">TEXT(G261,"mmm")</f>
        <v>Jan</v>
      </c>
    </row>
    <row r="262" spans="1:9" x14ac:dyDescent="0.3">
      <c r="A262">
        <v>303</v>
      </c>
      <c r="B262" t="s">
        <v>9</v>
      </c>
      <c r="C262" t="s">
        <v>10</v>
      </c>
      <c r="D262" t="s">
        <v>11</v>
      </c>
      <c r="E262">
        <v>3</v>
      </c>
      <c r="F262">
        <v>18000</v>
      </c>
      <c r="G262" t="s">
        <v>12</v>
      </c>
      <c r="I262" t="str">
        <f t="shared" si="14"/>
        <v>Jan</v>
      </c>
    </row>
    <row r="263" spans="1:9" x14ac:dyDescent="0.3">
      <c r="A263">
        <v>304</v>
      </c>
      <c r="B263" t="s">
        <v>13</v>
      </c>
      <c r="C263" t="s">
        <v>14</v>
      </c>
      <c r="D263" t="s">
        <v>3</v>
      </c>
      <c r="E263">
        <v>1</v>
      </c>
      <c r="F263">
        <v>45000</v>
      </c>
      <c r="G263" t="s">
        <v>15</v>
      </c>
      <c r="I263" t="str">
        <f t="shared" si="14"/>
        <v>Jan</v>
      </c>
    </row>
    <row r="264" spans="1:9" x14ac:dyDescent="0.3">
      <c r="A264">
        <v>305</v>
      </c>
      <c r="B264" t="s">
        <v>1</v>
      </c>
      <c r="C264" t="s">
        <v>2</v>
      </c>
      <c r="D264" t="s">
        <v>7</v>
      </c>
      <c r="E264">
        <v>4</v>
      </c>
      <c r="F264">
        <v>15000</v>
      </c>
      <c r="G264" t="s">
        <v>16</v>
      </c>
      <c r="I264" t="str">
        <f t="shared" si="14"/>
        <v>Jan</v>
      </c>
    </row>
    <row r="265" spans="1:9" x14ac:dyDescent="0.3">
      <c r="A265">
        <v>306</v>
      </c>
      <c r="B265" t="s">
        <v>5</v>
      </c>
      <c r="C265" t="s">
        <v>6</v>
      </c>
      <c r="D265" t="s">
        <v>3</v>
      </c>
      <c r="E265">
        <v>2</v>
      </c>
      <c r="F265">
        <v>45000</v>
      </c>
      <c r="G265" t="s">
        <v>17</v>
      </c>
      <c r="I265" t="str">
        <f t="shared" si="14"/>
        <v>Jan</v>
      </c>
    </row>
    <row r="266" spans="1:9" x14ac:dyDescent="0.3">
      <c r="A266" t="s">
        <v>88</v>
      </c>
    </row>
    <row r="268" spans="1:9" x14ac:dyDescent="0.3">
      <c r="A268" t="s">
        <v>48</v>
      </c>
      <c r="B268" t="s">
        <v>49</v>
      </c>
      <c r="C268" t="s">
        <v>50</v>
      </c>
      <c r="D268" t="s">
        <v>51</v>
      </c>
      <c r="E268" t="s">
        <v>52</v>
      </c>
      <c r="F268" t="s">
        <v>53</v>
      </c>
    </row>
    <row r="269" spans="1:9" x14ac:dyDescent="0.3">
      <c r="A269">
        <v>1</v>
      </c>
      <c r="B269" t="s">
        <v>54</v>
      </c>
      <c r="C269">
        <v>78</v>
      </c>
      <c r="D269">
        <v>82</v>
      </c>
      <c r="E269">
        <v>85</v>
      </c>
      <c r="F269">
        <v>92</v>
      </c>
    </row>
    <row r="270" spans="1:9" x14ac:dyDescent="0.3">
      <c r="A270">
        <v>2</v>
      </c>
      <c r="B270" t="s">
        <v>55</v>
      </c>
      <c r="C270">
        <v>88</v>
      </c>
      <c r="D270">
        <v>91</v>
      </c>
      <c r="E270">
        <v>90</v>
      </c>
      <c r="F270">
        <v>96</v>
      </c>
    </row>
    <row r="271" spans="1:9" x14ac:dyDescent="0.3">
      <c r="A271">
        <v>3</v>
      </c>
      <c r="B271" t="s">
        <v>56</v>
      </c>
      <c r="C271">
        <v>65</v>
      </c>
      <c r="D271">
        <v>70</v>
      </c>
      <c r="E271">
        <v>72</v>
      </c>
      <c r="F271">
        <v>85</v>
      </c>
    </row>
    <row r="272" spans="1:9" x14ac:dyDescent="0.3">
      <c r="A272">
        <v>4</v>
      </c>
      <c r="B272" t="s">
        <v>57</v>
      </c>
      <c r="C272">
        <v>92</v>
      </c>
      <c r="D272">
        <v>89</v>
      </c>
      <c r="E272">
        <v>94</v>
      </c>
      <c r="F272">
        <v>98</v>
      </c>
    </row>
    <row r="273" spans="1:6" x14ac:dyDescent="0.3">
      <c r="A273">
        <v>5</v>
      </c>
      <c r="B273" t="s">
        <v>58</v>
      </c>
      <c r="C273">
        <v>55</v>
      </c>
      <c r="D273">
        <v>60</v>
      </c>
      <c r="E273">
        <v>58</v>
      </c>
      <c r="F273">
        <v>80</v>
      </c>
    </row>
  </sheetData>
  <sortState xmlns:xlrd2="http://schemas.microsoft.com/office/spreadsheetml/2017/richdata2" ref="W97:W101">
    <sortCondition descending="1" ref="W96:W101"/>
  </sortState>
  <phoneticPr fontId="2" type="noConversion"/>
  <conditionalFormatting sqref="A214:A220">
    <cfRule type="cellIs" dxfId="1" priority="2" operator="greaterThan">
      <formula>60000</formula>
    </cfRule>
  </conditionalFormatting>
  <conditionalFormatting sqref="C248:C252">
    <cfRule type="duplicateValues" dxfId="0" priority="1"/>
  </conditionalFormatting>
  <pageMargins left="0.7" right="0.7" top="0.75" bottom="0.75" header="0.3" footer="0.3"/>
  <drawing r:id="rId5"/>
  <tableParts count="15"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ASDC50</dc:creator>
  <cp:lastModifiedBy>Deep Barot</cp:lastModifiedBy>
  <dcterms:created xsi:type="dcterms:W3CDTF">2026-07-07T08:57:02Z</dcterms:created>
  <dcterms:modified xsi:type="dcterms:W3CDTF">2026-07-17T05:17:38Z</dcterms:modified>
</cp:coreProperties>
</file>