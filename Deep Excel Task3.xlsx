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1F71A085-C356-4F5D-A41C-A1DC01B30F98}" xr6:coauthVersionLast="47" xr6:coauthVersionMax="47" xr10:uidLastSave="{00000000-0000-0000-0000-000000000000}"/>
  <bookViews>
    <workbookView xWindow="-120" yWindow="-120" windowWidth="20730" windowHeight="11040" xr2:uid="{E8CA3261-B047-4133-AE97-701054215C49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F19" i="3"/>
  <c r="F20" i="3"/>
  <c r="F21" i="3"/>
  <c r="F22" i="3"/>
  <c r="F18" i="3"/>
  <c r="I15" i="3"/>
  <c r="F15" i="3"/>
  <c r="C16" i="3"/>
  <c r="C17" i="3"/>
  <c r="C18" i="3"/>
  <c r="C19" i="3"/>
  <c r="C20" i="3"/>
  <c r="C21" i="3"/>
  <c r="C22" i="3"/>
  <c r="C15" i="3"/>
  <c r="L9" i="3"/>
  <c r="L10" i="3"/>
  <c r="L11" i="3"/>
  <c r="L5" i="3"/>
  <c r="L6" i="3"/>
  <c r="L7" i="3"/>
  <c r="L8" i="3"/>
  <c r="L4" i="3"/>
  <c r="H10" i="3"/>
  <c r="H9" i="3"/>
  <c r="H8" i="3"/>
  <c r="H7" i="3"/>
  <c r="H6" i="3"/>
  <c r="H5" i="3"/>
  <c r="H4" i="3"/>
  <c r="H3" i="3"/>
  <c r="G22" i="2"/>
  <c r="L26" i="2"/>
  <c r="L22" i="2"/>
  <c r="H2" i="2"/>
  <c r="H3" i="2"/>
  <c r="H4" i="2"/>
  <c r="H5" i="2"/>
  <c r="H6" i="2"/>
  <c r="H7" i="2"/>
  <c r="H8" i="2"/>
  <c r="H9" i="2"/>
  <c r="A11" i="2" a="1"/>
  <c r="M10" i="1"/>
  <c r="I11" i="1"/>
  <c r="I10" i="1"/>
  <c r="L7" i="1"/>
  <c r="L4" i="1"/>
  <c r="I7" i="1"/>
  <c r="I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<sst xmlns="http://schemas.openxmlformats.org/spreadsheetml/2006/main" count="204" uniqueCount="57">
  <si>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</si>
  <si>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</si>
  <si>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</si>
  <si>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</si>
  <si>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</si>
  <si>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</si>
  <si>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</si>
  <si>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</si>
  <si>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</si>
  <si>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</si>
  <si>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</si>
  <si>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</si>
  <si>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</si>
  <si>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</si>
  <si>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</si>
  <si>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</si>
  <si>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</si>
  <si>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</si>
  <si>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</si>
  <si>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</si>
  <si>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</si>
  <si>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</si>
  <si>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</si>
  <si>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</si>
  <si>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</si>
  <si>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</si>
  <si>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</si>
  <si>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</si>
  <si>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</si>
  <si>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</si>
  <si>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</si>
  <si>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</si>
  <si>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</si>
  <si>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 ID</t>
  </si>
  <si>
    <t>Bonus %</t>
  </si>
  <si>
    <t>FOUND OR NOT FOUND</t>
  </si>
  <si>
    <t>E110</t>
  </si>
  <si>
    <t>Joining Year</t>
  </si>
  <si>
    <t>Bonus Amount</t>
  </si>
  <si>
    <t>Bonus</t>
  </si>
  <si>
    <t>Found Or Not</t>
  </si>
  <si>
    <t>E999</t>
  </si>
  <si>
    <t>Task 1</t>
  </si>
  <si>
    <t>Task 2</t>
  </si>
  <si>
    <t>Task 3</t>
  </si>
  <si>
    <t>Task 4</t>
  </si>
  <si>
    <t>Task 5</t>
  </si>
  <si>
    <t>Task 6</t>
  </si>
  <si>
    <t>Task 10</t>
  </si>
  <si>
    <t>Task 7</t>
  </si>
  <si>
    <t>Task 8</t>
  </si>
  <si>
    <t>Task 9</t>
  </si>
  <si>
    <t>Task 11</t>
  </si>
  <si>
    <t>Task 12</t>
  </si>
  <si>
    <t>Task 13</t>
  </si>
  <si>
    <t>Task 15</t>
  </si>
  <si>
    <t>Task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</si>
</sst>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9" fontId="0" fillId="0" borderId="0" xfId="0" applyNumberFormat="1"/>
    <xf numFmtId="0" fontId="3" fillId="2" borderId="1" xfId="0" applyFont="1" applyFill="1" applyBorder="1" applyAlignment="1">
      <alignment horizontal="right" vertical="center" wrapText="1" inden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1A5F-50BD-44E3-9A74-416AA3ECB36B}">
  <dimension ref="A1:M11"/>
  <sheetViews>
    <sheetView tabSelected="1" topLeftCell="A2" workbookViewId="0">
      <selection activeCell="K2" sqref="K2:L2"/>
    </sheetView>
  </sheetViews>
  <sheetFormatPr defaultRowHeight="15" x14ac:dyDescent="0.25"/>
  <cols>
    <col min="1" max="1" width="16" customWidth="1"/>
    <col min="2" max="2" width="13.85546875" customWidth="1"/>
    <col min="3" max="3" width="15.42578125" customWidth="1"/>
    <col min="4" max="4" width="14" customWidth="1"/>
    <col min="5" max="5" width="10.7109375" customWidth="1"/>
    <col min="6" max="6" width="17.28515625" customWidth="1"/>
    <col min="8" max="8" width="11.85546875" customWidth="1"/>
    <col min="9" max="9" width="12.42578125" customWidth="1"/>
    <col min="11" max="11" width="10.5703125" customWidth="1"/>
    <col min="12" max="12" width="14" customWidth="1"/>
  </cols>
  <sheetData>
    <row r="1" spans="1:13" ht="1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13" ht="35.25" thickBot="1" x14ac:dyDescent="0.35">
      <c r="A2" s="3" t="s">
        <v>6</v>
      </c>
      <c r="B2" s="5" t="s">
        <v>7</v>
      </c>
      <c r="C2" s="5" t="s">
        <v>8</v>
      </c>
      <c r="D2" s="5" t="s">
        <v>9</v>
      </c>
      <c r="E2" s="3">
        <v>45000</v>
      </c>
      <c r="F2" s="3">
        <v>2019</v>
      </c>
      <c r="H2" s="14" t="s">
        <v>42</v>
      </c>
      <c r="I2" s="9"/>
      <c r="K2" s="14" t="s">
        <v>44</v>
      </c>
      <c r="L2" s="14"/>
    </row>
    <row r="3" spans="1:13" ht="35.25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6">
        <v>2018</v>
      </c>
      <c r="H3" t="s">
        <v>33</v>
      </c>
      <c r="I3" t="s">
        <v>1</v>
      </c>
      <c r="K3" t="s">
        <v>1</v>
      </c>
      <c r="L3" t="s">
        <v>4</v>
      </c>
    </row>
    <row r="4" spans="1:13" ht="35.25" thickBot="1" x14ac:dyDescent="0.3">
      <c r="A4" s="3" t="s">
        <v>14</v>
      </c>
      <c r="B4" s="5" t="s">
        <v>15</v>
      </c>
      <c r="C4" s="5" t="s">
        <v>16</v>
      </c>
      <c r="D4" s="5" t="s">
        <v>17</v>
      </c>
      <c r="E4" s="3">
        <v>65000</v>
      </c>
      <c r="F4" s="3">
        <v>2020</v>
      </c>
      <c r="H4" t="s">
        <v>22</v>
      </c>
      <c r="I4" t="str">
        <f>VLOOKUP(H4,A1:F9,2,0)</f>
        <v>Aman Kumar</v>
      </c>
      <c r="K4" t="s">
        <v>19</v>
      </c>
      <c r="L4">
        <f>VLOOKUP(K4,B1:F9,4,0)</f>
        <v>58000</v>
      </c>
    </row>
    <row r="5" spans="1:13" ht="35.25" thickBot="1" x14ac:dyDescent="0.35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6">
        <v>2017</v>
      </c>
      <c r="H5" s="14" t="s">
        <v>43</v>
      </c>
      <c r="I5" s="14"/>
      <c r="K5" s="14" t="s">
        <v>45</v>
      </c>
      <c r="L5" s="14"/>
    </row>
    <row r="6" spans="1:13" ht="35.25" thickBot="1" x14ac:dyDescent="0.3">
      <c r="A6" s="3" t="s">
        <v>22</v>
      </c>
      <c r="B6" s="5" t="s">
        <v>23</v>
      </c>
      <c r="C6" s="5" t="s">
        <v>24</v>
      </c>
      <c r="D6" s="5" t="s">
        <v>9</v>
      </c>
      <c r="E6" s="3">
        <v>48000</v>
      </c>
      <c r="F6" s="3">
        <v>2021</v>
      </c>
      <c r="H6" t="s">
        <v>33</v>
      </c>
      <c r="I6" t="s">
        <v>2</v>
      </c>
      <c r="K6" t="s">
        <v>1</v>
      </c>
      <c r="L6" t="s">
        <v>3</v>
      </c>
    </row>
    <row r="7" spans="1:13" ht="35.25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6">
        <v>2019</v>
      </c>
      <c r="H7" t="s">
        <v>14</v>
      </c>
      <c r="I7" t="str">
        <f>VLOOKUP(H7,A1:F9,3,0)</f>
        <v>IT</v>
      </c>
      <c r="K7" t="s">
        <v>28</v>
      </c>
      <c r="L7" t="str">
        <f>VLOOKUP(K7,A1:F9,4,0)</f>
        <v>Hyderabad</v>
      </c>
    </row>
    <row r="8" spans="1:13" ht="19.5" thickBot="1" x14ac:dyDescent="0.35">
      <c r="A8" s="3" t="s">
        <v>28</v>
      </c>
      <c r="B8" s="5" t="s">
        <v>29</v>
      </c>
      <c r="C8" s="5" t="s">
        <v>8</v>
      </c>
      <c r="D8" s="5" t="s">
        <v>30</v>
      </c>
      <c r="E8" s="3">
        <v>47000</v>
      </c>
      <c r="F8" s="3">
        <v>2020</v>
      </c>
      <c r="H8" s="14" t="s">
        <v>46</v>
      </c>
      <c r="I8" s="14"/>
      <c r="L8" s="14" t="s">
        <v>47</v>
      </c>
      <c r="M8" s="14"/>
    </row>
    <row r="9" spans="1:13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6">
        <v>2016</v>
      </c>
      <c r="H9" t="s">
        <v>33</v>
      </c>
      <c r="I9" t="s">
        <v>35</v>
      </c>
      <c r="L9" t="s">
        <v>33</v>
      </c>
      <c r="M9" t="s">
        <v>37</v>
      </c>
    </row>
    <row r="10" spans="1:13" x14ac:dyDescent="0.25">
      <c r="H10" t="s">
        <v>22</v>
      </c>
      <c r="I10" t="str">
        <f>IFERROR(VLOOKUP(H10,A1:F9,1,0),"Not Found")</f>
        <v>E105</v>
      </c>
      <c r="L10" t="s">
        <v>6</v>
      </c>
      <c r="M10">
        <f>VLOOKUP(L10,A1:F9,6,0)</f>
        <v>2019</v>
      </c>
    </row>
    <row r="11" spans="1:13" x14ac:dyDescent="0.25">
      <c r="H11" t="s">
        <v>36</v>
      </c>
      <c r="I11" t="str">
        <f>IFERROR(VLOOKUP(H11,A2:F10,1,0),"Not Found")</f>
        <v>Not Found</v>
      </c>
    </row>
  </sheetData>
  <mergeCells count="6">
    <mergeCell ref="H2:I2"/>
    <mergeCell ref="H5:I5"/>
    <mergeCell ref="K2:L2"/>
    <mergeCell ref="K5:L5"/>
    <mergeCell ref="H8:I8"/>
    <mergeCell ref="L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F8EC-1C4F-40ED-A431-080674851B30}">
  <dimension ref="A1:P26"/>
  <sheetViews>
    <sheetView topLeftCell="A9" workbookViewId="0">
      <selection activeCell="F20" sqref="F20:G20"/>
    </sheetView>
  </sheetViews>
  <sheetFormatPr defaultRowHeight="15" x14ac:dyDescent="0.25"/>
  <cols>
    <col min="1" max="1" width="17.42578125" customWidth="1"/>
    <col min="2" max="2" width="14.28515625" customWidth="1"/>
    <col min="3" max="3" width="14.42578125" customWidth="1"/>
    <col min="4" max="4" width="12.7109375" customWidth="1"/>
    <col min="5" max="5" width="10.42578125" customWidth="1"/>
    <col min="6" max="6" width="16.28515625" customWidth="1"/>
    <col min="8" max="9" width="10.5703125" customWidth="1"/>
    <col min="11" max="11" width="13.28515625" bestFit="1" customWidth="1"/>
    <col min="12" max="12" width="7.7109375" customWidth="1"/>
  </cols>
  <sheetData>
    <row r="1" spans="1:16" ht="3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1" t="s">
        <v>34</v>
      </c>
      <c r="H1" s="11" t="s">
        <v>38</v>
      </c>
    </row>
    <row r="2" spans="1:16" ht="35.25" thickBot="1" x14ac:dyDescent="0.3">
      <c r="A2" s="3" t="s">
        <v>6</v>
      </c>
      <c r="B2" s="5" t="s">
        <v>7</v>
      </c>
      <c r="C2" s="5" t="s">
        <v>8</v>
      </c>
      <c r="D2" s="5" t="s">
        <v>9</v>
      </c>
      <c r="E2" s="3">
        <v>45000</v>
      </c>
      <c r="F2" s="3">
        <v>2019</v>
      </c>
      <c r="G2" s="12">
        <v>0.1</v>
      </c>
      <c r="H2">
        <f>ROUND(E2*G2,0)</f>
        <v>4500</v>
      </c>
    </row>
    <row r="3" spans="1:16" ht="35.25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6">
        <v>2018</v>
      </c>
      <c r="G3" s="12">
        <v>0.08</v>
      </c>
      <c r="H3">
        <f t="shared" ref="H3:H9" si="0">ROUND(E3*G3,0)</f>
        <v>4160</v>
      </c>
    </row>
    <row r="4" spans="1:16" ht="35.25" thickBot="1" x14ac:dyDescent="0.3">
      <c r="A4" s="3" t="s">
        <v>14</v>
      </c>
      <c r="B4" s="5" t="s">
        <v>15</v>
      </c>
      <c r="C4" s="5" t="s">
        <v>16</v>
      </c>
      <c r="D4" s="5" t="s">
        <v>17</v>
      </c>
      <c r="E4" s="3">
        <v>65000</v>
      </c>
      <c r="F4" s="3">
        <v>2020</v>
      </c>
      <c r="G4" s="12">
        <v>0.12</v>
      </c>
      <c r="H4">
        <f t="shared" si="0"/>
        <v>7800</v>
      </c>
    </row>
    <row r="5" spans="1:16" ht="18" thickBot="1" x14ac:dyDescent="0.3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6">
        <v>2017</v>
      </c>
      <c r="G5" s="12">
        <v>0.15</v>
      </c>
      <c r="H5">
        <f t="shared" si="0"/>
        <v>8700</v>
      </c>
    </row>
    <row r="6" spans="1:16" ht="35.25" thickBot="1" x14ac:dyDescent="0.3">
      <c r="A6" s="3" t="s">
        <v>22</v>
      </c>
      <c r="B6" s="5" t="s">
        <v>23</v>
      </c>
      <c r="C6" s="5" t="s">
        <v>24</v>
      </c>
      <c r="D6" s="5" t="s">
        <v>9</v>
      </c>
      <c r="E6" s="3">
        <v>48000</v>
      </c>
      <c r="F6" s="3">
        <v>2021</v>
      </c>
      <c r="G6" s="12">
        <v>0.09</v>
      </c>
      <c r="H6">
        <f t="shared" si="0"/>
        <v>4320</v>
      </c>
    </row>
    <row r="7" spans="1:16" ht="35.25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6">
        <v>2019</v>
      </c>
      <c r="G7" s="12">
        <v>0.12</v>
      </c>
      <c r="H7">
        <f t="shared" si="0"/>
        <v>7440</v>
      </c>
    </row>
    <row r="8" spans="1:16" ht="35.25" thickBot="1" x14ac:dyDescent="0.3">
      <c r="A8" s="3" t="s">
        <v>28</v>
      </c>
      <c r="B8" s="5" t="s">
        <v>29</v>
      </c>
      <c r="C8" s="5" t="s">
        <v>8</v>
      </c>
      <c r="D8" s="5" t="s">
        <v>30</v>
      </c>
      <c r="E8" s="3">
        <v>47000</v>
      </c>
      <c r="F8" s="3">
        <v>2020</v>
      </c>
      <c r="G8" s="12">
        <v>0.1</v>
      </c>
      <c r="H8">
        <f t="shared" si="0"/>
        <v>4700</v>
      </c>
    </row>
    <row r="9" spans="1:16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6">
        <v>2016</v>
      </c>
      <c r="G9" s="12">
        <v>0.08</v>
      </c>
      <c r="H9">
        <f t="shared" si="0"/>
        <v>4320</v>
      </c>
    </row>
    <row r="10" spans="1:16" ht="15.75" thickBot="1" x14ac:dyDescent="0.3"/>
    <row r="11" spans="1:16" ht="30.75" thickBot="1" x14ac:dyDescent="0.3">
      <c r="A11" t="str" cm="1">
        <f t="array" ref="A11:I18">TRANSPOSE(A1:H9)</f>
        <v>EmployeeID</v>
      </c>
      <c r="B11" t="str">
        <v>E101</v>
      </c>
      <c r="C11" t="str">
        <v>E102</v>
      </c>
      <c r="D11" t="str">
        <v>E103</v>
      </c>
      <c r="E11" t="str">
        <v>E104</v>
      </c>
      <c r="F11" t="str">
        <v>E105</v>
      </c>
      <c r="G11" t="str">
        <v>E106</v>
      </c>
      <c r="H11" t="str">
        <v>E107</v>
      </c>
      <c r="I11" t="str">
        <v>E108</v>
      </c>
      <c r="K11" s="10" t="s">
        <v>2</v>
      </c>
      <c r="L11" s="13" t="s">
        <v>8</v>
      </c>
      <c r="M11" s="13" t="s">
        <v>12</v>
      </c>
      <c r="N11" s="13" t="s">
        <v>16</v>
      </c>
      <c r="O11" s="13" t="s">
        <v>20</v>
      </c>
      <c r="P11" s="13" t="s">
        <v>24</v>
      </c>
    </row>
    <row r="12" spans="1:16" ht="15.75" thickBot="1" x14ac:dyDescent="0.3">
      <c r="A12" t="str">
        <v>Name</v>
      </c>
      <c r="B12" t="str">
        <v>Rahul Sharma</v>
      </c>
      <c r="C12" t="str">
        <v>Ananya Gupta</v>
      </c>
      <c r="D12" t="str">
        <v>Rohit Verma</v>
      </c>
      <c r="E12" t="str">
        <v>Neha Singh</v>
      </c>
      <c r="F12" t="str">
        <v>Aman Kumar</v>
      </c>
      <c r="G12" t="str">
        <v>Pooja Mehta</v>
      </c>
      <c r="H12" t="str">
        <v>Suresh Rao</v>
      </c>
      <c r="I12" t="str">
        <v>Kavita Iyer</v>
      </c>
      <c r="K12" s="4" t="s">
        <v>34</v>
      </c>
      <c r="L12" s="8">
        <v>0.1</v>
      </c>
      <c r="M12" s="8">
        <v>0.08</v>
      </c>
      <c r="N12" s="8">
        <v>0.12</v>
      </c>
      <c r="O12" s="8">
        <v>0.15</v>
      </c>
      <c r="P12" s="8">
        <v>0.09</v>
      </c>
    </row>
    <row r="13" spans="1:16" x14ac:dyDescent="0.25">
      <c r="A13" t="str">
        <v>Department</v>
      </c>
      <c r="B13" t="str">
        <v>Sales</v>
      </c>
      <c r="C13" t="str">
        <v>HR</v>
      </c>
      <c r="D13" t="str">
        <v>IT</v>
      </c>
      <c r="E13" t="str">
        <v>Finance</v>
      </c>
      <c r="F13" t="str">
        <v>Marketing</v>
      </c>
      <c r="G13" t="str">
        <v>IT</v>
      </c>
      <c r="H13" t="str">
        <v>Sales</v>
      </c>
      <c r="I13" t="str">
        <v>HR</v>
      </c>
    </row>
    <row r="14" spans="1:16" x14ac:dyDescent="0.25">
      <c r="A14" t="str">
        <v>Location</v>
      </c>
      <c r="B14" t="str">
        <v>Mumbai</v>
      </c>
      <c r="C14" t="str">
        <v>Delhi</v>
      </c>
      <c r="D14" t="str">
        <v>Bangalore</v>
      </c>
      <c r="E14" t="str">
        <v>Pune</v>
      </c>
      <c r="F14" t="str">
        <v>Mumbai</v>
      </c>
      <c r="G14" t="str">
        <v>Chennai</v>
      </c>
      <c r="H14" t="str">
        <v>Hyderabad</v>
      </c>
      <c r="I14" t="str">
        <v>Bangalore</v>
      </c>
    </row>
    <row r="15" spans="1:16" x14ac:dyDescent="0.25">
      <c r="A15" t="str">
        <v>Salary</v>
      </c>
      <c r="B15">
        <v>45000</v>
      </c>
      <c r="C15">
        <v>52000</v>
      </c>
      <c r="D15">
        <v>65000</v>
      </c>
      <c r="E15">
        <v>58000</v>
      </c>
      <c r="F15">
        <v>48000</v>
      </c>
      <c r="G15">
        <v>62000</v>
      </c>
      <c r="H15">
        <v>47000</v>
      </c>
      <c r="I15">
        <v>54000</v>
      </c>
    </row>
    <row r="16" spans="1:16" x14ac:dyDescent="0.25">
      <c r="A16" t="str">
        <v>JoiningYear</v>
      </c>
      <c r="B16">
        <v>2019</v>
      </c>
      <c r="C16">
        <v>2018</v>
      </c>
      <c r="D16">
        <v>2020</v>
      </c>
      <c r="E16">
        <v>2017</v>
      </c>
      <c r="F16">
        <v>2021</v>
      </c>
      <c r="G16">
        <v>2019</v>
      </c>
      <c r="H16">
        <v>2020</v>
      </c>
      <c r="I16">
        <v>2016</v>
      </c>
    </row>
    <row r="17" spans="1:12" x14ac:dyDescent="0.25">
      <c r="A17" t="str">
        <v>Bonus %</v>
      </c>
      <c r="B17">
        <v>0.1</v>
      </c>
      <c r="C17">
        <v>0.08</v>
      </c>
      <c r="D17">
        <v>0.12</v>
      </c>
      <c r="E17">
        <v>0.15</v>
      </c>
      <c r="F17">
        <v>0.09</v>
      </c>
      <c r="G17">
        <v>0.12</v>
      </c>
      <c r="H17">
        <v>0.1</v>
      </c>
      <c r="I17">
        <v>0.08</v>
      </c>
    </row>
    <row r="18" spans="1:12" x14ac:dyDescent="0.25">
      <c r="A18" t="str">
        <v>Bonus Amount</v>
      </c>
      <c r="B18">
        <v>4500</v>
      </c>
      <c r="C18">
        <v>4160</v>
      </c>
      <c r="D18">
        <v>7800</v>
      </c>
      <c r="E18">
        <v>8700</v>
      </c>
      <c r="F18">
        <v>4320</v>
      </c>
      <c r="G18">
        <v>7440</v>
      </c>
      <c r="H18">
        <v>4700</v>
      </c>
      <c r="I18">
        <v>4320</v>
      </c>
    </row>
    <row r="20" spans="1:12" x14ac:dyDescent="0.25">
      <c r="F20" s="9" t="s">
        <v>51</v>
      </c>
      <c r="G20" s="9"/>
      <c r="K20" s="9" t="s">
        <v>49</v>
      </c>
      <c r="L20" s="9"/>
    </row>
    <row r="21" spans="1:12" ht="18.75" x14ac:dyDescent="0.3">
      <c r="B21" s="14" t="s">
        <v>48</v>
      </c>
      <c r="C21" s="14"/>
      <c r="F21" t="s">
        <v>33</v>
      </c>
      <c r="G21" t="s">
        <v>18</v>
      </c>
      <c r="K21" t="s">
        <v>2</v>
      </c>
      <c r="L21" t="s">
        <v>16</v>
      </c>
    </row>
    <row r="22" spans="1:12" x14ac:dyDescent="0.25">
      <c r="B22" t="s">
        <v>2</v>
      </c>
      <c r="C22" t="s">
        <v>16</v>
      </c>
      <c r="F22" t="s">
        <v>38</v>
      </c>
      <c r="G22">
        <f>HLOOKUP(G21,_xlfn.ANCHORARRAY(A11),8,0)</f>
        <v>8700</v>
      </c>
      <c r="K22" t="s">
        <v>34</v>
      </c>
      <c r="L22">
        <f>HLOOKUP(L21,K11:P12,2,0)</f>
        <v>0.12</v>
      </c>
    </row>
    <row r="23" spans="1:12" x14ac:dyDescent="0.25">
      <c r="B23" t="s">
        <v>39</v>
      </c>
      <c r="C23" t="str">
        <f>IFERROR(HLOOKUP(C22,A11:I16,3,0),"No Bonus Data")</f>
        <v>No Bonus Data</v>
      </c>
    </row>
    <row r="24" spans="1:12" x14ac:dyDescent="0.25">
      <c r="K24" s="9" t="s">
        <v>50</v>
      </c>
      <c r="L24" s="9"/>
    </row>
    <row r="25" spans="1:12" x14ac:dyDescent="0.25">
      <c r="K25" t="s">
        <v>2</v>
      </c>
      <c r="L25" t="s">
        <v>20</v>
      </c>
    </row>
    <row r="26" spans="1:12" x14ac:dyDescent="0.25">
      <c r="K26" t="s">
        <v>34</v>
      </c>
      <c r="L26">
        <f>HLOOKUP(L25,K11:P12,2,0)</f>
        <v>0.15</v>
      </c>
    </row>
  </sheetData>
  <mergeCells count="4">
    <mergeCell ref="B21:C21"/>
    <mergeCell ref="K20:L20"/>
    <mergeCell ref="K24:L24"/>
    <mergeCell ref="F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CE50-3E6A-4561-9F7E-519D08CE1A84}">
  <dimension ref="A1:L22"/>
  <sheetViews>
    <sheetView topLeftCell="A12" workbookViewId="0">
      <selection activeCell="H13" sqref="H13:I13"/>
    </sheetView>
  </sheetViews>
  <sheetFormatPr defaultRowHeight="15" x14ac:dyDescent="0.25"/>
  <cols>
    <col min="1" max="1" width="16.85546875" customWidth="1"/>
    <col min="2" max="3" width="15.5703125" customWidth="1"/>
    <col min="4" max="4" width="11.140625" customWidth="1"/>
    <col min="5" max="5" width="14.140625" customWidth="1"/>
    <col min="6" max="6" width="15.85546875" customWidth="1"/>
    <col min="8" max="8" width="13.28515625" customWidth="1"/>
    <col min="9" max="9" width="13.5703125" customWidth="1"/>
    <col min="11" max="11" width="14.5703125" customWidth="1"/>
  </cols>
  <sheetData>
    <row r="1" spans="1:12" ht="17.25" customHeight="1" thickBot="1" x14ac:dyDescent="0.3"/>
    <row r="2" spans="1:12" ht="64.5" customHeight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1" t="s">
        <v>34</v>
      </c>
      <c r="H2" s="11" t="s">
        <v>38</v>
      </c>
      <c r="K2" s="9" t="s">
        <v>52</v>
      </c>
      <c r="L2" s="9"/>
    </row>
    <row r="3" spans="1:12" ht="51.75" customHeight="1" thickBot="1" x14ac:dyDescent="0.3">
      <c r="A3" s="3" t="s">
        <v>6</v>
      </c>
      <c r="B3" s="5" t="s">
        <v>7</v>
      </c>
      <c r="C3" s="5" t="s">
        <v>8</v>
      </c>
      <c r="D3" s="5" t="s">
        <v>9</v>
      </c>
      <c r="E3" s="3">
        <v>45000</v>
      </c>
      <c r="F3" s="3">
        <v>2019</v>
      </c>
      <c r="G3" s="12">
        <v>0.1</v>
      </c>
      <c r="H3">
        <f>ROUND(E3*G3,0)</f>
        <v>4500</v>
      </c>
      <c r="K3" t="s">
        <v>33</v>
      </c>
      <c r="L3" t="s">
        <v>4</v>
      </c>
    </row>
    <row r="4" spans="1:12" ht="33" customHeight="1" thickBot="1" x14ac:dyDescent="0.3">
      <c r="A4" s="6" t="s">
        <v>10</v>
      </c>
      <c r="B4" s="7" t="s">
        <v>11</v>
      </c>
      <c r="C4" s="7" t="s">
        <v>12</v>
      </c>
      <c r="D4" s="7" t="s">
        <v>13</v>
      </c>
      <c r="E4" s="6">
        <v>52000</v>
      </c>
      <c r="F4" s="6">
        <v>2018</v>
      </c>
      <c r="G4" s="12">
        <v>0.08</v>
      </c>
      <c r="H4">
        <f t="shared" ref="H4:H10" si="0">ROUND(E4*G4,0)</f>
        <v>4160</v>
      </c>
      <c r="K4" t="s">
        <v>6</v>
      </c>
      <c r="L4">
        <f>_xlfn.XLOOKUP(K4, A2:A10,E2:E10)</f>
        <v>45000</v>
      </c>
    </row>
    <row r="5" spans="1:12" ht="35.25" thickBot="1" x14ac:dyDescent="0.3">
      <c r="A5" s="3" t="s">
        <v>14</v>
      </c>
      <c r="B5" s="5" t="s">
        <v>15</v>
      </c>
      <c r="C5" s="5" t="s">
        <v>16</v>
      </c>
      <c r="D5" s="5" t="s">
        <v>17</v>
      </c>
      <c r="E5" s="3">
        <v>65000</v>
      </c>
      <c r="F5" s="3">
        <v>2020</v>
      </c>
      <c r="G5" s="12">
        <v>0.12</v>
      </c>
      <c r="H5">
        <f t="shared" si="0"/>
        <v>7800</v>
      </c>
      <c r="K5" t="s">
        <v>10</v>
      </c>
      <c r="L5">
        <f t="shared" ref="L5:L11" si="1">_xlfn.XLOOKUP(K5, A3:A11,E3:E11)</f>
        <v>52000</v>
      </c>
    </row>
    <row r="6" spans="1:12" ht="35.25" thickBot="1" x14ac:dyDescent="0.3">
      <c r="A6" s="6" t="s">
        <v>18</v>
      </c>
      <c r="B6" s="7" t="s">
        <v>19</v>
      </c>
      <c r="C6" s="7" t="s">
        <v>20</v>
      </c>
      <c r="D6" s="7" t="s">
        <v>21</v>
      </c>
      <c r="E6" s="6">
        <v>58000</v>
      </c>
      <c r="F6" s="6">
        <v>2017</v>
      </c>
      <c r="G6" s="12">
        <v>0.15</v>
      </c>
      <c r="H6">
        <f t="shared" si="0"/>
        <v>8700</v>
      </c>
      <c r="K6" t="s">
        <v>14</v>
      </c>
      <c r="L6">
        <f t="shared" si="1"/>
        <v>65000</v>
      </c>
    </row>
    <row r="7" spans="1:12" ht="35.25" thickBot="1" x14ac:dyDescent="0.3">
      <c r="A7" s="3" t="s">
        <v>22</v>
      </c>
      <c r="B7" s="5" t="s">
        <v>23</v>
      </c>
      <c r="C7" s="5" t="s">
        <v>24</v>
      </c>
      <c r="D7" s="5" t="s">
        <v>9</v>
      </c>
      <c r="E7" s="3">
        <v>48000</v>
      </c>
      <c r="F7" s="3">
        <v>2021</v>
      </c>
      <c r="G7" s="12">
        <v>0.09</v>
      </c>
      <c r="H7">
        <f t="shared" si="0"/>
        <v>4320</v>
      </c>
      <c r="K7" t="s">
        <v>18</v>
      </c>
      <c r="L7">
        <f t="shared" si="1"/>
        <v>58000</v>
      </c>
    </row>
    <row r="8" spans="1:12" ht="35.25" thickBot="1" x14ac:dyDescent="0.3">
      <c r="A8" s="6" t="s">
        <v>25</v>
      </c>
      <c r="B8" s="7" t="s">
        <v>26</v>
      </c>
      <c r="C8" s="7" t="s">
        <v>16</v>
      </c>
      <c r="D8" s="7" t="s">
        <v>27</v>
      </c>
      <c r="E8" s="6">
        <v>62000</v>
      </c>
      <c r="F8" s="6">
        <v>2019</v>
      </c>
      <c r="G8" s="12">
        <v>0.12</v>
      </c>
      <c r="H8">
        <f t="shared" si="0"/>
        <v>7440</v>
      </c>
      <c r="K8" t="s">
        <v>22</v>
      </c>
      <c r="L8">
        <f t="shared" si="1"/>
        <v>48000</v>
      </c>
    </row>
    <row r="9" spans="1:12" ht="35.25" thickBot="1" x14ac:dyDescent="0.3">
      <c r="A9" s="3" t="s">
        <v>28</v>
      </c>
      <c r="B9" s="5" t="s">
        <v>29</v>
      </c>
      <c r="C9" s="5" t="s">
        <v>8</v>
      </c>
      <c r="D9" s="5" t="s">
        <v>30</v>
      </c>
      <c r="E9" s="3">
        <v>47000</v>
      </c>
      <c r="F9" s="3">
        <v>2020</v>
      </c>
      <c r="G9" s="12">
        <v>0.1</v>
      </c>
      <c r="H9">
        <f t="shared" si="0"/>
        <v>4700</v>
      </c>
      <c r="K9" t="s">
        <v>25</v>
      </c>
      <c r="L9">
        <f t="shared" si="1"/>
        <v>62000</v>
      </c>
    </row>
    <row r="10" spans="1:12" ht="35.25" thickBot="1" x14ac:dyDescent="0.3">
      <c r="A10" s="6" t="s">
        <v>31</v>
      </c>
      <c r="B10" s="7" t="s">
        <v>32</v>
      </c>
      <c r="C10" s="7" t="s">
        <v>12</v>
      </c>
      <c r="D10" s="7" t="s">
        <v>17</v>
      </c>
      <c r="E10" s="6">
        <v>54000</v>
      </c>
      <c r="F10" s="6">
        <v>2016</v>
      </c>
      <c r="G10" s="12">
        <v>0.08</v>
      </c>
      <c r="H10">
        <f t="shared" si="0"/>
        <v>4320</v>
      </c>
      <c r="K10" t="s">
        <v>28</v>
      </c>
      <c r="L10">
        <f t="shared" si="1"/>
        <v>47000</v>
      </c>
    </row>
    <row r="11" spans="1:12" x14ac:dyDescent="0.25">
      <c r="K11" t="s">
        <v>31</v>
      </c>
      <c r="L11">
        <f t="shared" si="1"/>
        <v>54000</v>
      </c>
    </row>
    <row r="13" spans="1:12" x14ac:dyDescent="0.25">
      <c r="B13" s="9" t="s">
        <v>53</v>
      </c>
      <c r="C13" s="9"/>
      <c r="E13" s="9" t="s">
        <v>54</v>
      </c>
      <c r="F13" s="9"/>
      <c r="H13" s="9" t="s">
        <v>56</v>
      </c>
      <c r="I13" s="9"/>
    </row>
    <row r="14" spans="1:12" x14ac:dyDescent="0.25">
      <c r="B14" t="s">
        <v>1</v>
      </c>
      <c r="C14" t="s">
        <v>2</v>
      </c>
      <c r="E14" t="s">
        <v>1</v>
      </c>
      <c r="F14" t="s">
        <v>3</v>
      </c>
      <c r="H14" t="s">
        <v>33</v>
      </c>
      <c r="I14" t="s">
        <v>40</v>
      </c>
    </row>
    <row r="15" spans="1:12" ht="15.75" thickBot="1" x14ac:dyDescent="0.3">
      <c r="B15" t="s">
        <v>7</v>
      </c>
      <c r="C15" t="str">
        <f>_xlfn.XLOOKUP(B15,B2:B10,C2:C10)</f>
        <v>Sales</v>
      </c>
      <c r="E15" t="s">
        <v>15</v>
      </c>
      <c r="F15" t="str">
        <f>_xlfn.XLOOKUP(E15,B2:B10,D2:D10)</f>
        <v>Bangalore</v>
      </c>
      <c r="H15" t="s">
        <v>41</v>
      </c>
      <c r="I15" t="str">
        <f>_xlfn.XLOOKUP(H15,A2:A10,B2:B10, "Employee not found")</f>
        <v>Employee not found</v>
      </c>
    </row>
    <row r="16" spans="1:12" ht="35.25" thickBot="1" x14ac:dyDescent="0.3">
      <c r="B16" s="7" t="s">
        <v>11</v>
      </c>
      <c r="C16" t="str">
        <f t="shared" ref="C16:C22" si="2">_xlfn.XLOOKUP(B16,B3:B11,C3:C11)</f>
        <v>HR</v>
      </c>
      <c r="E16" s="9" t="s">
        <v>55</v>
      </c>
      <c r="F16" s="9"/>
    </row>
    <row r="17" spans="2:6" ht="18" thickBot="1" x14ac:dyDescent="0.3">
      <c r="B17" s="5" t="s">
        <v>15</v>
      </c>
      <c r="C17" t="str">
        <f t="shared" si="2"/>
        <v>IT</v>
      </c>
      <c r="E17" t="s">
        <v>2</v>
      </c>
      <c r="F17" t="s">
        <v>34</v>
      </c>
    </row>
    <row r="18" spans="2:6" ht="35.25" thickBot="1" x14ac:dyDescent="0.3">
      <c r="B18" s="7" t="s">
        <v>19</v>
      </c>
      <c r="C18" t="str">
        <f t="shared" si="2"/>
        <v>Finance</v>
      </c>
      <c r="E18" t="s">
        <v>20</v>
      </c>
      <c r="F18">
        <f>_xlfn.XLOOKUP(E18,C2:C10,G2:G10)</f>
        <v>0.15</v>
      </c>
    </row>
    <row r="19" spans="2:6" ht="35.25" thickBot="1" x14ac:dyDescent="0.3">
      <c r="B19" s="5" t="s">
        <v>23</v>
      </c>
      <c r="C19" t="str">
        <f t="shared" si="2"/>
        <v>Marketing</v>
      </c>
      <c r="E19" t="s">
        <v>8</v>
      </c>
      <c r="F19">
        <f t="shared" ref="F19:F22" si="3">_xlfn.XLOOKUP(E19,C3:C11,G3:G11)</f>
        <v>0.1</v>
      </c>
    </row>
    <row r="20" spans="2:6" ht="35.25" thickBot="1" x14ac:dyDescent="0.3">
      <c r="B20" s="7" t="s">
        <v>26</v>
      </c>
      <c r="C20" t="str">
        <f t="shared" si="2"/>
        <v>IT</v>
      </c>
      <c r="E20" t="s">
        <v>12</v>
      </c>
      <c r="F20">
        <f t="shared" si="3"/>
        <v>0.08</v>
      </c>
    </row>
    <row r="21" spans="2:6" ht="35.25" thickBot="1" x14ac:dyDescent="0.3">
      <c r="B21" s="5" t="s">
        <v>29</v>
      </c>
      <c r="C21" t="str">
        <f t="shared" si="2"/>
        <v>Sales</v>
      </c>
      <c r="E21" t="s">
        <v>16</v>
      </c>
      <c r="F21">
        <f t="shared" si="3"/>
        <v>0.12</v>
      </c>
    </row>
    <row r="22" spans="2:6" ht="35.25" thickBot="1" x14ac:dyDescent="0.3">
      <c r="B22" s="7" t="s">
        <v>32</v>
      </c>
      <c r="C22" t="str">
        <f t="shared" si="2"/>
        <v>HR</v>
      </c>
      <c r="E22" t="s">
        <v>24</v>
      </c>
      <c r="F22">
        <f t="shared" si="3"/>
        <v>0.09</v>
      </c>
    </row>
  </sheetData>
  <mergeCells count="5">
    <mergeCell ref="E16:F16"/>
    <mergeCell ref="K2:L2"/>
    <mergeCell ref="B13:C13"/>
    <mergeCell ref="E13:F13"/>
    <mergeCell ref="H13:I1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dcterms:created xsi:type="dcterms:W3CDTF">2026-06-29T09:34:42Z</dcterms:created>
  <dcterms:modified xsi:type="dcterms:W3CDTF">2026-06-29T12:32:37Z</dcterms:modified>
</cp:coreProperties>
</file>