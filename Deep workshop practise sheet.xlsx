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83FA052-A59E-4049-BD54-FBEC38AB2FE5}" xr6:coauthVersionLast="47" xr6:coauthVersionMax="47" xr10:uidLastSave="{00000000-0000-0000-0000-000000000000}"/>
  <bookViews>
    <workbookView xWindow="-120" yWindow="-120" windowWidth="29040" windowHeight="15720" tabRatio="1000" firstSheet="62" activeTab="74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_xlnm._FilterDatabase" localSheetId="73" hidden="1">'73'!$B$5:$G$5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5" l="1"/>
  <c r="H6" i="87"/>
  <c r="H5" i="87"/>
  <c r="H4" i="87"/>
  <c r="N8" i="71"/>
  <c r="C12" i="67"/>
  <c r="I20" i="65"/>
  <c r="I7" i="65"/>
  <c r="I17" i="65"/>
  <c r="F18" i="64" a="1"/>
  <c r="F18" i="64"/>
  <c r="F19" i="64" a="1"/>
  <c r="F19" i="64"/>
  <c r="F20" i="64" a="1"/>
  <c r="F20" i="64"/>
  <c r="F21" i="64" a="1"/>
  <c r="F21" i="64"/>
  <c r="F17" i="64" a="1"/>
  <c r="F17" i="64"/>
  <c r="L18" i="62"/>
  <c r="L17" i="62"/>
  <c r="D5" i="60"/>
  <c r="D6" i="60"/>
  <c r="D7" i="60"/>
  <c r="D8" i="60"/>
  <c r="D4" i="57"/>
  <c r="C12" i="56"/>
  <c r="D12" i="56" s="1"/>
  <c r="C13" i="56"/>
  <c r="D13" i="56" s="1"/>
  <c r="C11" i="56"/>
  <c r="D11" i="56" s="1"/>
  <c r="D5" i="55"/>
  <c r="D6" i="55"/>
  <c r="D7" i="55"/>
  <c r="D8" i="55"/>
  <c r="D4" i="55"/>
  <c r="D5" i="54"/>
  <c r="D6" i="54"/>
  <c r="D7" i="54"/>
  <c r="D8" i="54"/>
  <c r="D4" i="54"/>
  <c r="C4" i="54"/>
  <c r="D19" i="61"/>
  <c r="D20" i="61"/>
  <c r="D18" i="61"/>
  <c r="E4" i="59"/>
  <c r="F4" i="51"/>
  <c r="E5" i="51"/>
  <c r="D5" i="51"/>
  <c r="C5" i="51"/>
  <c r="E4" i="51"/>
  <c r="D4" i="51"/>
  <c r="C4" i="51"/>
  <c r="G10" i="50"/>
  <c r="F10" i="50"/>
  <c r="C8" i="49" a="1"/>
  <c r="C8" i="49" s="1"/>
  <c r="I10" i="48" a="1"/>
  <c r="I10" i="48" s="1"/>
  <c r="C4" i="47"/>
  <c r="C5" i="47"/>
  <c r="C6" i="47"/>
  <c r="C7" i="47"/>
  <c r="C8" i="47"/>
  <c r="C9" i="47"/>
  <c r="C10" i="47"/>
  <c r="C11" i="47"/>
  <c r="D11" i="42"/>
  <c r="D12" i="42"/>
  <c r="D13" i="42"/>
  <c r="D10" i="42"/>
  <c r="C10" i="42"/>
  <c r="D5" i="42"/>
  <c r="D6" i="42"/>
  <c r="D7" i="42"/>
  <c r="D4" i="42"/>
  <c r="D4" i="43"/>
  <c r="D5" i="43"/>
  <c r="D6" i="43"/>
  <c r="D7" i="43"/>
  <c r="F11" i="41"/>
  <c r="F10" i="41"/>
  <c r="F9" i="41"/>
  <c r="F4" i="40"/>
  <c r="I5" i="38"/>
  <c r="I4" i="38"/>
  <c r="F5" i="38" a="1"/>
  <c r="F5" i="38" s="1"/>
  <c r="F6" i="38" a="1"/>
  <c r="F6" i="38" s="1"/>
  <c r="I6" i="38" s="1"/>
  <c r="F7" i="38" a="1"/>
  <c r="F7" i="38" s="1"/>
  <c r="I7" i="38" s="1"/>
  <c r="F8" i="38" a="1"/>
  <c r="F8" i="38" s="1"/>
  <c r="I8" i="38" s="1"/>
  <c r="F4" i="38" a="1"/>
  <c r="F4" i="38" s="1"/>
  <c r="C4" i="45" a="1"/>
  <c r="C4" i="45" s="1"/>
  <c r="G11" i="34"/>
  <c r="G12" i="34"/>
  <c r="G13" i="34"/>
  <c r="G10" i="34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C4" i="30"/>
  <c r="D4" i="28"/>
  <c r="I5" i="17"/>
  <c r="G10" i="13"/>
  <c r="G9" i="13"/>
  <c r="G8" i="13"/>
  <c r="G4" i="13"/>
  <c r="E6" i="8"/>
  <c r="E7" i="8"/>
  <c r="E8" i="8"/>
  <c r="E9" i="8"/>
  <c r="E10" i="8"/>
  <c r="E11" i="8"/>
  <c r="E12" i="8"/>
  <c r="H4" i="5"/>
  <c r="G18" i="4"/>
  <c r="G17" i="3"/>
  <c r="G4" i="3"/>
  <c r="E5" i="32"/>
  <c r="E6" i="32"/>
  <c r="E7" i="32"/>
  <c r="E8" i="32"/>
  <c r="E9" i="32"/>
  <c r="E10" i="32"/>
  <c r="E11" i="32"/>
  <c r="E4" i="32"/>
  <c r="D4" i="32"/>
  <c r="E18" i="27"/>
  <c r="D7" i="28"/>
  <c r="D5" i="28"/>
  <c r="C3" i="26"/>
  <c r="G4" i="4"/>
  <c r="H18" i="25"/>
  <c r="H4" i="25"/>
  <c r="G18" i="24"/>
  <c r="E5" i="23"/>
  <c r="H5" i="23"/>
  <c r="D5" i="22"/>
  <c r="D4" i="22"/>
  <c r="E5" i="21"/>
  <c r="E4" i="21"/>
  <c r="I5" i="19"/>
  <c r="G4" i="11"/>
  <c r="F17" i="11"/>
  <c r="F14" i="7"/>
  <c r="B25" i="6"/>
  <c r="F12" i="6"/>
  <c r="F13" i="6"/>
  <c r="F11" i="6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I4" i="4" a="1"/>
  <c r="I4" i="4" s="1"/>
  <c r="J4" i="4" s="1"/>
  <c r="H5" i="5"/>
  <c r="H6" i="5"/>
  <c r="F4" i="6"/>
  <c r="F5" i="6"/>
  <c r="F6" i="6"/>
  <c r="F7" i="6"/>
  <c r="F8" i="6"/>
  <c r="F9" i="6"/>
  <c r="F10" i="6"/>
  <c r="F4" i="7"/>
  <c r="F5" i="7"/>
  <c r="F6" i="7"/>
  <c r="F7" i="7"/>
  <c r="F8" i="7"/>
  <c r="F9" i="7"/>
  <c r="F10" i="7"/>
  <c r="F11" i="7"/>
  <c r="F12" i="7"/>
  <c r="E4" i="8"/>
  <c r="E5" i="8"/>
  <c r="E4" i="9"/>
  <c r="E5" i="9"/>
  <c r="E6" i="9"/>
  <c r="E7" i="9"/>
  <c r="E8" i="9"/>
  <c r="E9" i="9"/>
  <c r="E10" i="9"/>
  <c r="E11" i="9"/>
  <c r="E12" i="9"/>
  <c r="F4" i="10"/>
  <c r="G5" i="11"/>
  <c r="G6" i="11"/>
  <c r="G7" i="11"/>
  <c r="G8" i="11"/>
  <c r="G9" i="11"/>
  <c r="G10" i="11"/>
  <c r="G11" i="11"/>
  <c r="G4" i="12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3"/>
  <c r="G4" i="24"/>
  <c r="G8" i="24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6" i="28"/>
  <c r="D8" i="28"/>
  <c r="D9" i="28"/>
  <c r="D10" i="28"/>
  <c r="D11" i="28"/>
  <c r="D12" i="28"/>
  <c r="C5" i="30"/>
  <c r="C6" i="30"/>
  <c r="C7" i="30"/>
  <c r="C8" i="30"/>
  <c r="C9" i="30"/>
  <c r="C10" i="30"/>
  <c r="C11" i="30"/>
  <c r="C12" i="30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1" i="42"/>
  <c r="C12" i="42"/>
  <c r="C13" i="42"/>
  <c r="C4" i="43"/>
  <c r="C5" i="43"/>
  <c r="C6" i="43"/>
  <c r="C7" i="43"/>
  <c r="C5" i="45"/>
  <c r="C6" i="45"/>
  <c r="C7" i="45"/>
  <c r="C4" i="46"/>
  <c r="C5" i="46"/>
  <c r="C6" i="46"/>
  <c r="C7" i="46"/>
  <c r="B10" i="48" a="1"/>
  <c r="G10" i="48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5" i="57"/>
  <c r="D6" i="57"/>
  <c r="D7" i="57"/>
  <c r="D8" i="57"/>
  <c r="D4" i="58"/>
  <c r="E4" i="58" s="1"/>
  <c r="D5" i="58"/>
  <c r="D6" i="58"/>
  <c r="D7" i="58"/>
  <c r="D8" i="58"/>
  <c r="D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C12" i="65"/>
  <c r="D12" i="65"/>
  <c r="E12" i="65"/>
  <c r="F12" i="65"/>
  <c r="I12" i="65"/>
  <c r="J12" i="65"/>
  <c r="C10" i="66"/>
  <c r="F10" i="66"/>
  <c r="J10" i="66"/>
  <c r="F11" i="66"/>
  <c r="F12" i="66"/>
  <c r="C13" i="66"/>
  <c r="F13" i="66"/>
  <c r="I4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11" i="9"/>
  <c r="F6" i="9"/>
  <c r="F9" i="9"/>
  <c r="F7" i="9"/>
  <c r="F10" i="9"/>
  <c r="F12" i="9"/>
  <c r="F5" i="9"/>
  <c r="F8" i="9"/>
  <c r="F4" i="9"/>
  <c r="F13" i="56" l="1"/>
  <c r="F12" i="56"/>
  <c r="F11" i="56"/>
  <c r="E13" i="56"/>
  <c r="E12" i="56"/>
  <c r="E11" i="56"/>
  <c r="D5" i="56"/>
  <c r="D4" i="56"/>
  <c r="F3" i="26"/>
  <c r="I5" i="4"/>
  <c r="J5" i="4" s="1"/>
  <c r="D13" i="28"/>
  <c r="I3" i="26"/>
  <c r="I7" i="4"/>
  <c r="J7" i="4" s="1"/>
  <c r="G11" i="20"/>
  <c r="D12" i="32"/>
  <c r="I7" i="72"/>
  <c r="F15" i="69"/>
  <c r="G10" i="20"/>
  <c r="G4" i="20"/>
  <c r="B15" i="69"/>
  <c r="J9" i="72"/>
  <c r="H7" i="72"/>
  <c r="I9" i="72"/>
  <c r="I6" i="4"/>
  <c r="J6" i="4" s="1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<sst xmlns="http://schemas.openxmlformats.org/spreadsheetml/2006/main" count="3972" uniqueCount="981">
  <si>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</si>
  <si>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</si>
  <si>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</si>
  <si>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</si>
  <si>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</si>
  <si>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</si>
  <si>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</si>
  <si>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</si>
  <si>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</si>
  <si>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</si>
  <si>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</si>
  <si>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</si>
  <si>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</si>
  <si>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</si>
  <si>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</si>
  <si>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</si>
  <si>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</si>
  <si>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</si>
  <si>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</si>
  <si>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</si>
  <si>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</si>
  <si>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</si>
  <si>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</si>
  <si>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</si>
  <si>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</si>
  <si>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</si>
  <si>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</si>
  <si>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</si>
  <si>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</si>
  <si>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</si>
  <si>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</si>
  <si>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</si>
  <si>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</si>
  <si>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</si>
  <si>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</si>
  <si>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</si>
  <si>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</si>
  <si>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</si>
  <si>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</si>
  <si>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</si>
  <si>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</si>
  <si>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</si>
  <si>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</si>
  <si>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</si>
  <si>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</si>
  <si>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</si>
  <si>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</si>
  <si>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</si>
  <si>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</si>
  <si>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</si>
  <si>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</si>
  <si>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</si>
  <si>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</si>
  <si>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</si>
  <si>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</si>
  <si>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</si>
  <si>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</si>
  <si>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</si>
  <si>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</si>
  <si>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</si>
  <si>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</si>
  <si>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</si>
  <si>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</si>
  <si>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</si>
  <si>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</si>
  <si>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</si>
  <si>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</si>
  <si>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</si>
  <si>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</si>
  <si>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</si>
  <si>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</si>
  <si>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</si>
  <si>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</si>
  <si>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</si>
  <si>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</si>
  <si>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</si>
  <si>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</si>
  <si>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</si>
  <si>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</si>
  <si>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</si>
  <si>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</si>
  <si>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</si>
  <si>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</si>
  <si>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</si>
  <si>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</si>
  <si>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</si>
  <si>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</si>
  <si>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</si>
  <si>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</si>
  <si>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</si>
  <si>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</si>
  <si>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</si>
  <si>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</si>
  <si>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</si>
  <si>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</si>
  <si>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</si>
  <si>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</si>
  <si>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</si>
  <si>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</si>
  <si>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</si>
  <si>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</si>
  <si>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</si>
  <si>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</si>
  <si>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</si>
  <si>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</si>
  <si>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</si>
  <si>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</si>
  <si>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</si>
  <si>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</si>
  <si>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</si>
  <si>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</si>
  <si>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</si>
  <si>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</si>
  <si>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</si>
  <si>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</si>
  <si>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</si>
  <si>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</si>
  <si>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</si>
  <si>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</si>
  <si>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</si>
  <si>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</si>
  <si>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</si>
  <si>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</si>
  <si>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</si>
  <si>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</si>
  <si>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</si>
  <si>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</si>
  <si>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</si>
  <si>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</si>
  <si>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</si>
  <si>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</si>
  <si>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</si>
  <si>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</si>
  <si>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</si>
  <si>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</si>
  <si>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</si>
  <si>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</si>
  <si>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</si>
  <si>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</si>
  <si>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</si>
  <si>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</si>
  <si>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</si>
  <si>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</si>
  <si>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</si>
  <si>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</si>
  <si>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</si>
  <si>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</si>
  <si>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</si>
  <si>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</si>
  <si>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</si>
  <si>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</si>
  <si>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</si>
  <si>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</si>
  <si>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</si>
  <si>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</si>
  <si>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</si>
  <si>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</si>
  <si>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</si>
  <si>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</si>
  <si>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</si>
  <si>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</si>
  <si>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</si>
  <si>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</si>
  <si>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</si>
  <si>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</si>
  <si>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</si>
  <si>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</si>
  <si>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</si>
  <si>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</si>
  <si>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</si>
  <si>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</si>
  <si>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</si>
  <si>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</si>
  <si>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</si>
  <si>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</si>
  <si>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</si>
  <si>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</si>
  <si>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</si>
  <si>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</si>
  <si>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</si>
  <si>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</si>
  <si>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</si>
  <si>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</si>
  <si>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</si>
  <si>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</si>
  <si>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</si>
  <si>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</si>
  <si>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</si>
  <si>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</si>
  <si>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</si>
  <si>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</si>
  <si>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</si>
  <si>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</si>
  <si>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</si>
  <si>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</si>
  <si>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</si>
  <si>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</si>
  <si>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</si>
  <si>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</si>
  <si>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</si>
  <si>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</si>
  <si>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</si>
  <si>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</si>
  <si>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</si>
  <si>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</si>
  <si>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</si>
  <si>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</si>
  <si>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</si>
  <si>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</si>
  <si>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</si>
  <si>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</si>
  <si>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</si>
  <si>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</si>
  <si>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</si>
  <si>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</si>
  <si>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</si>
  <si>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</si>
  <si>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</si>
  <si>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</si>
  <si>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</si>
  <si>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</si>
  <si>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</si>
  <si>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</si>
  <si>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</si>
  <si>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</si>
  <si>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</si>
  <si>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</si>
  <si>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</si>
  <si>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</si>
  <si>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</si>
  <si>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</si>
  <si>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</si>
  <si>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</si>
  <si>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</si>
  <si>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</si>
  <si>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</si>
  <si>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</si>
  <si>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</si>
  <si>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</si>
  <si>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</si>
  <si>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</si>
  <si>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</si>
  <si>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</si>
  <si>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</si>
  <si>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</si>
  <si>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</si>
  <si>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</si>
  <si>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</si>
  <si>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</si>
  <si>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</si>
  <si>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</si>
  <si>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</si>
  <si>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</si>
  <si>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</si>
  <si>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</si>
  <si>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</si>
  <si>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</si>
  <si>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</si>
  <si>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</si>
  <si>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</si>
  <si>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</si>
  <si>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</si>
  <si>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</si>
  <si>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</si>
  <si>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</si>
  <si>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</si>
  <si>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</si>
  <si>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</si>
  <si>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</si>
  <si>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</si>
  <si>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</si>
  <si>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</si>
  <si>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</si>
  <si>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</si>
  <si>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</si>
  <si>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</si>
  <si>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</si>
  <si>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</si>
  <si>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</si>
  <si>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</si>
  <si>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</si>
  <si>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</si>
  <si>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</si>
  <si>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</si>
  <si>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</si>
  <si>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</si>
  <si>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</si>
  <si>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</si>
  <si>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</si>
  <si>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</si>
  <si>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</si>
  <si>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</si>
  <si>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</si>
  <si>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</si>
  <si>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</si>
  <si>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</si>
  <si>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</si>
  <si>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</si>
  <si>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</si>
  <si>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</si>
  <si>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</si>
  <si>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</si>
  <si>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</si>
  <si>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</si>
  <si>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</si>
  <si>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</si>
  <si>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</si>
  <si>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</si>
  <si>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</si>
  <si>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</si>
  <si>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</si>
  <si>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</si>
  <si>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</si>
  <si>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</si>
  <si>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</si>
  <si>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</si>
  <si>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</si>
  <si>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</si>
  <si>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</si>
  <si>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</si>
  <si>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</si>
  <si>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</si>
  <si>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</si>
  <si>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</si>
  <si>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</si>
  <si>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</si>
  <si>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</si>
  <si>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</si>
  <si>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</si>
  <si>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</si>
  <si>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</si>
  <si>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</si>
  <si>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</si>
  <si>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</si>
  <si>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</si>
  <si>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</si>
  <si>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</si>
  <si>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</si>
  <si>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</si>
  <si>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</si>
  <si>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</si>
  <si>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</si>
  <si>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</si>
  <si>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</si>
  <si>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</si>
  <si>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</si>
  <si>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</si>
  <si>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</si>
  <si>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</si>
  <si>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</si>
  <si>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</si>
  <si>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</si>
  <si>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</si>
  <si>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</si>
  <si>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</si>
  <si>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</si>
  <si>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</si>
  <si>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</si>
  <si>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</si>
  <si>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</si>
  <si>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</si>
  <si>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</si>
  <si>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</si>
  <si>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</si>
  <si>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</si>
  <si>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</si>
  <si>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</si>
  <si>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</si>
  <si>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</si>
  <si>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</si>
  <si>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</si>
  <si>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</si>
  <si>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</si>
  <si>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</si>
  <si>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</si>
  <si>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</si>
  <si>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</si>
  <si>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</si>
  <si>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</si>
  <si>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</si>
  <si>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</si>
  <si>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</si>
  <si>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</si>
  <si>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</si>
  <si>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</si>
  <si>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</si>
  <si>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</si>
  <si>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</si>
  <si>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</si>
  <si>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</si>
  <si>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</si>
  <si>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</si>
  <si>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</si>
  <si>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</si>
  <si>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</si>
  <si>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</si>
  <si>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</si>
  <si>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</si>
  <si>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</si>
  <si>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</si>
  <si>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</si>
  <si>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</si>
  <si>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</si>
  <si>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</si>
  <si>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</si>
  <si>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</si>
  <si>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</si>
  <si>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</si>
  <si>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</si>
  <si>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</si>
  <si>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</si>
  <si>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</si>
  <si>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</si>
  <si>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</si>
  <si>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</si>
  <si>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</si>
  <si>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</si>
  <si>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</si>
  <si>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</si>
  <si>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</si>
  <si>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</si>
  <si>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</si>
  <si>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</si>
  <si>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</si>
  <si>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</si>
  <si>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</si>
  <si>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</si>
  <si>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</si>
  <si>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</si>
  <si>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</si>
  <si>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</si>
  <si>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</si>
  <si>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</si>
  <si>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</si>
  <si>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</si>
  <si>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</si>
  <si>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</si>
  <si>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</si>
  <si>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</si>
  <si>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</si>
  <si>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</si>
  <si>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</si>
  <si>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</si>
  <si>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</si>
  <si>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</si>
  <si>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</si>
  <si>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</si>
  <si>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</si>
  <si>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</si>
  <si>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</si>
  <si>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</si>
  <si>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</si>
  <si>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</si>
  <si>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</si>
  <si>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</si>
  <si>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</si>
  <si>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</si>
  <si>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</si>
  <si>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</si>
  <si>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</si>
  <si>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</si>
  <si>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</si>
  <si>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</si>
  <si>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</si>
  <si>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</si>
  <si>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</si>
  <si>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</si>
  <si>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</si>
  <si>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</si>
  <si>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</si>
  <si>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</si>
  <si>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</si>
  <si>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</si>
  <si>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</si>
  <si>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</si>
  <si>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</si>
  <si>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</si>
  <si>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</si>
  <si>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</si>
  <si>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</si>
  <si>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</si>
  <si>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</si>
  <si>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</si>
  <si>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</si>
  <si>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</si>
  <si>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</si>
  <si>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</si>
  <si>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</si>
  <si>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</si>
  <si>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</si>
  <si>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</si>
  <si>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</si>
  <si>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</si>
  <si>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</si>
  <si>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</si>
  <si>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</si>
  <si>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</si>
  <si>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</si>
  <si>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</si>
  <si>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</si>
  <si>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</si>
  <si>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</si>
  <si>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</si>
  <si>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</si>
  <si>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</si>
  <si>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</si>
  <si>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</si>
  <si>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</si>
  <si>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</si>
  <si>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</si>
  <si>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</si>
  <si>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</si>
  <si>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</si>
  <si>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</si>
  <si>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</si>
  <si>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</si>
  <si>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</si>
  <si>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</si>
  <si>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</si>
  <si>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</si>
  <si>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</si>
  <si>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</si>
  <si>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</si>
  <si>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</si>
  <si>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</si>
  <si>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</si>
  <si>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</si>
  <si>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</si>
  <si>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</si>
  <si>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</si>
  <si>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</si>
  <si>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</si>
  <si>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</si>
  <si>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</si>
  <si>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</si>
  <si>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</si>
  <si>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</si>
  <si>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</si>
  <si>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</si>
  <si>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</si>
  <si>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</si>
  <si>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</si>
  <si>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</si>
  <si>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</si>
  <si>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</si>
  <si>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</si>
  <si>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</si>
  <si>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</si>
  <si>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</si>
  <si>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</si>
  <si>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</si>
  <si>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</si>
  <si>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</si>
  <si>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</si>
  <si>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</si>
  <si>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</si>
  <si>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</si>
  <si>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</si>
  <si>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</si>
  <si>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</si>
  <si>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</si>
  <si>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</si>
  <si>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</si>
  <si>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</si>
  <si>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</si>
  <si>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</si>
  <si>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</si>
  <si>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</si>
  <si>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</si>
  <si>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</si>
  <si>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</si>
  <si>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</si>
  <si>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</si>
  <si>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</si>
  <si>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</si>
  <si>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</si>
  <si>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</si>
  <si>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</si>
  <si>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</si>
  <si>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</si>
  <si>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</si>
  <si>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</si>
  <si>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</si>
  <si>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</si>
  <si>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</si>
  <si>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</si>
  <si>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</si>
  <si>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</si>
  <si>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</si>
  <si>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</si>
  <si>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</si>
  <si>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</si>
  <si>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</si>
  <si>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</si>
  <si>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</si>
  <si>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</si>
  <si>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</si>
  <si>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</si>
  <si>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</si>
  <si>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</si>
  <si>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</si>
  <si>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</si>
  <si>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</si>
  <si>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</si>
  <si>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</si>
  <si>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</si>
  <si>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</si>
  <si>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</si>
  <si>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</si>
  <si>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</si>
  <si>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</si>
  <si>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</si>
  <si>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</si>
  <si>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</si>
  <si>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</si>
  <si>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</si>
  <si>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</si>
  <si>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</si>
  <si>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</si>
  <si>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</si>
  <si>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</si>
  <si>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</si>
  <si>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</si>
  <si>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</si>
  <si>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</si>
  <si>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</si>
  <si>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</si>
  <si>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</si>
  <si>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</si>
  <si>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</si>
  <si>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</si>
  <si>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</si>
  <si>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</si>
  <si>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</si>
  <si>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</si>
  <si>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</si>
  <si>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</si>
  <si>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</si>
  <si>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</si>
  <si>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</si>
  <si>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</si>
  <si>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</si>
  <si>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</si>
  <si>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</si>
  <si>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</si>
  <si>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</si>
  <si>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</si>
  <si>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</si>
  <si>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</si>
  <si>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</si>
  <si>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</si>
  <si>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</si>
  <si>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</si>
  <si>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</si>
  <si>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</si>
  <si>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</si>
  <si>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</si>
  <si>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</si>
  <si>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</si>
  <si>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</si>
  <si>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</si>
  <si>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</si>
  <si>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</si>
  <si>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</si>
  <si>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</si>
  <si>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</si>
  <si>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</si>
  <si>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</si>
  <si>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</si>
  <si>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</si>
  <si>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</si>
  <si>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</si>
  <si>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</si>
  <si>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</si>
  <si>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</si>
  <si>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</si>
  <si>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</si>
  <si>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</si>
  <si>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</si>
  <si>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</si>
  <si>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</si>
  <si>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</si>
  <si>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</si>
  <si>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</si>
  <si>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</si>
  <si>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</si>
  <si>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</si>
  <si>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</si>
  <si>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</si>
  <si>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</si>
  <si>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</si>
  <si>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</si>
  <si>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</si>
  <si>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</si>
  <si>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</si>
  <si>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</si>
  <si>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</si>
  <si>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</si>
  <si>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</si>
  <si>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</si>
  <si>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</si>
  <si>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</si>
  <si>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</si>
  <si>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</si>
  <si>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</si>
  <si>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</si>
  <si>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</si>
  <si>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</si>
  <si>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</si>
  <si>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</si>
  <si>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</si>
  <si>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</si>
  <si>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</si>
  <si>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</si>
  <si>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</si>
  <si>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</si>
  <si>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</si>
  <si>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</si>
  <si>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</si>
  <si>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</si>
  <si>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</si>
  <si>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</si>
  <si>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</si>
  <si>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</si>
  <si>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</si>
  <si>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</si>
  <si>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</si>
  <si>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</si>
  <si>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</si>
  <si>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</si>
  <si>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</si>
  <si>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</si>
  <si>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</si>
  <si>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</si>
  <si>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</si>
  <si>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</si>
  <si>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</si>
  <si>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</si>
  <si>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</si>
  <si>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</si>
  <si>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</si>
  <si>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</si>
  <si>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</si>
  <si>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</si>
  <si>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</si>
  <si>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</si>
  <si>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</si>
  <si>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</si>
  <si>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</si>
  <si>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</si>
  <si>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</si>
  <si>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</si>
  <si>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</si>
  <si>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</si>
  <si>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</si>
  <si>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</si>
  <si>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</si>
  <si>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</si>
  <si>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</si>
  <si>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</si>
  <si>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</si>
  <si>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</si>
  <si>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</si>
  <si>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</si>
  <si>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</si>
  <si>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</si>
  <si>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</si>
  <si>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</si>
  <si>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</si>
  <si>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</si>
  <si>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</si>
  <si>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</si>
  <si>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</si>
  <si>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</si>
  <si>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</si>
  <si>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</si>
  <si>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</si>
  <si>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</si>
  <si>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</si>
  <si>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</si>
  <si>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</si>
  <si>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</si>
  <si>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</si>
  <si>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</si>
  <si>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</si>
  <si>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</si>
  <si>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</si>
  <si>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</si>
  <si>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</si>
  <si>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</si>
  <si>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</si>
  <si>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</si>
  <si>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</si>
  <si>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</si>
  <si>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</si>
  <si>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</si>
  <si>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</si>
  <si>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</si>
  <si>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</si>
  <si>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</si>
  <si>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</si>
  <si>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</si>
  <si>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</si>
  <si>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</si>
  <si>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</si>
  <si>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</si>
  <si>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</si>
  <si>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</si>
  <si>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</si>
  <si>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</si>
  <si>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</si>
  <si>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</si>
  <si>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</si>
  <si>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</si>
  <si>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</si>
  <si>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</si>
  <si>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</si>
  <si>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</si>
  <si>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</si>
  <si>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</si>
  <si>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</si>
  <si>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</si>
  <si>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</si>
  <si>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</si>
  <si>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</si>
  <si>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</si>
  <si>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</si>
  <si>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</si>
  <si>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</si>
  <si>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</si>
  <si>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</si>
  <si>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</si>
  <si>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</si>
  <si>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</si>
  <si>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</si>
  <si>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</si>
  <si>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</si>
  <si>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</si>
  <si>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</si>
  <si>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</si>
  <si>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</si>
  <si>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</si>
  <si>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</si>
  <si>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</si>
  <si>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</si>
  <si>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</si>
  <si>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</si>
  <si>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</si>
  <si>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</si>
  <si>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</si>
  <si>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</si>
  <si>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</si>
  <si>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</si>
  <si>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</si>
  <si>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</si>
  <si>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</si>
  <si>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</si>
  <si>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</si>
  <si>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</si>
  <si>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</si>
  <si>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</si>
  <si>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</si>
  <si>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</si>
  <si>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</si>
  <si>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</si>
  <si>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</si>
  <si>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</si>
  <si>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</si>
  <si>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</si>
  <si>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</si>
  <si>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</si>
  <si>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</si>
  <si>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</si>
  <si>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</si>
  <si>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</si>
  <si>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</si>
  <si>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</si>
  <si>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</si>
  <si>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</si>
  <si>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</si>
  <si>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</si>
  <si>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</si>
  <si>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</si>
  <si>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</si>
  <si>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</si>
  <si>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</si>
  <si>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</si>
  <si>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</si>
  <si>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</si>
  <si>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</si>
  <si>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</si>
  <si>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</si>
  <si>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</si>
  <si>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</si>
  <si>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</si>
  <si>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</si>
  <si>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</si>
  <si>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</si>
  <si>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</si>
  <si>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</si>
  <si>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</si>
  <si>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</si>
  <si>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</si>
  <si>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</si>
  <si>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</si>
  <si>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</si>
  <si>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</si>
  <si>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</si>
  <si>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</si>
  <si>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</si>
  <si>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</si>
  <si>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</si>
  <si>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</si>
  <si>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</si>
  <si>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</si>
  <si>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</si>
  <si>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</si>
  <si>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</si>
  <si>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</si>
  <si>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</si>
  <si>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</si>
  <si>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</si>
  <si>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</si>
  <si>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</si>
  <si>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</si>
  <si>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</si>
  <si>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</si>
  <si>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</si>
  <si>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</si>
  <si>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</si>
  <si>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</si>
  <si>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</si>
  <si>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</si>
  <si>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</si>
  <si>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</si>
  <si>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</si>
  <si>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</si>
  <si>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</si>
  <si>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</si>
  <si>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</si>
  <si>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</si>
  <si>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</si>
  <si>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</si>
  <si>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</si>
  <si>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</si>
  <si>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</si>
  <si>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</si>
  <si>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</si>
  <si>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</si>
  <si>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</si>
  <si>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</si>
  <si>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</si>
  <si>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</si>
  <si>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</si>
  <si>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</si>
  <si>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</si>
  <si>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</si>
  <si>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</si>
  <si>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</si>
  <si>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</si>
  <si>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</si>
  <si>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</si>
  <si>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</si>
  <si>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</si>
  <si>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</si>
  <si>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</si>
  <si>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</si>
  <si>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</si>
  <si>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</si>
  <si>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</si>
  <si>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</si>
  <si>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</si>
  <si>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</si>
  <si>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</si>
  <si>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</si>
  <si>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</si>
  <si>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</si>
  <si>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</si>
  <si>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CountBlank</t>
  </si>
  <si>
    <t>raj kumar     singh</t>
  </si>
  <si>
    <t>D.O.B.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</si>
</sst>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7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43" fontId="11" fillId="0" borderId="2" xfId="2" applyFon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18" fillId="5" borderId="14" xfId="0" applyFont="1" applyFill="1" applyBorder="1"/>
    <xf numFmtId="0" fontId="0" fillId="0" borderId="2" xfId="0" applyNumberFormat="1" applyBorder="1"/>
    <xf numFmtId="0" fontId="18" fillId="5" borderId="15" xfId="0" applyFont="1" applyFill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3.xlsx]Sheet23!PivotTable23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18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10" workbookViewId="0">
      <selection activeCell="B26" sqref="B26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D20" sqref="D20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AVERAGE('1'!D4:D11)</f>
        <v>17487.5</v>
      </c>
      <c r="E12" s="54">
        <f>AVERAGE('1'!E4:E11)</f>
        <v>16250</v>
      </c>
      <c r="F12" s="54">
        <f>AVERAGE('1'!F4:F11)</f>
        <v>17100</v>
      </c>
      <c r="G12" s="39"/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130" zoomScaleNormal="130" workbookViewId="0">
      <pane ySplit="1" topLeftCell="A8" activePane="bottomLeft" state="frozen"/>
      <selection pane="bottomLeft" activeCell="F18" sqref="F18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2" t="s">
        <v>101</v>
      </c>
      <c r="C1" s="142"/>
      <c r="D1" s="142"/>
      <c r="E1" s="142"/>
      <c r="F1" s="142"/>
      <c r="G1" s="142"/>
      <c r="H1" s="142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99</v>
      </c>
      <c r="G17" s="4">
        <f>SUMIF(B17:B26,F17,D17:D26)</f>
        <v>5600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 activeCell="G9" sqref="G9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89</v>
      </c>
      <c r="G4" s="4">
        <f>SUMIF(B4:B13,F4,D4:D13)</f>
        <v>102500</v>
      </c>
      <c r="I4" t="str">
        <f t="array" ref="I4:I7">_xlfn.UNIQUE(B4:B13)</f>
        <v>Tablet</v>
      </c>
      <c r="J4">
        <f>SUMIF(B4:B13,I4,D4:D13)</f>
        <v>102500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  <c r="J5">
        <f>SUMIF(B4:B13,I5,D4:D13)</f>
        <v>20400</v>
      </c>
    </row>
    <row r="6" spans="1:11" x14ac:dyDescent="0.3">
      <c r="B6" s="39" t="s">
        <v>93</v>
      </c>
      <c r="C6" s="39" t="s">
        <v>94</v>
      </c>
      <c r="D6" s="39">
        <v>28500</v>
      </c>
      <c r="I6" t="str">
        <v>Webcam</v>
      </c>
      <c r="J6">
        <f t="shared" ref="J6:J7" si="0">SUMIF(B5:B14,I6,D5:D14)</f>
        <v>35700</v>
      </c>
    </row>
    <row r="7" spans="1:11" x14ac:dyDescent="0.3">
      <c r="B7" s="39" t="s">
        <v>89</v>
      </c>
      <c r="C7" s="39" t="s">
        <v>90</v>
      </c>
      <c r="D7" s="39">
        <v>31000</v>
      </c>
      <c r="I7" t="str">
        <v>Router</v>
      </c>
      <c r="J7">
        <f t="shared" si="0"/>
        <v>6000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106</v>
      </c>
      <c r="G18" s="4">
        <f>SUMIF(B18:B27,F18,D18:D27)</f>
        <v>5000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8" activePane="bottomLeft" state="frozen"/>
      <selection pane="bottomLeft" activeCell="F13" sqref="F13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3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547</v>
      </c>
      <c r="H18" s="4">
        <f>SUMIFS(D18:D27,B18:B27,F18,C18:C27,G18)</f>
        <v>16200</v>
      </c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B25" sqref="B25"/>
    </sheetView>
  </sheetViews>
  <sheetFormatPr defaultRowHeight="18.75" x14ac:dyDescent="0.3"/>
  <cols>
    <col min="2" max="2" width="14" customWidth="1"/>
    <col min="4" max="6" width="9.5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9">
        <f>PRODUCT(D11:E11)</f>
        <v>12300</v>
      </c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ref="F12:F13" si="1">PRODUCT(D12:E12)</f>
        <v>46800</v>
      </c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1"/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F12" sqref="F12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3" t="s">
        <v>139</v>
      </c>
      <c r="E14" s="144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E15" sqref="E15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3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3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3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3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3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3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  <ignoredErrors>
    <ignoredError sqref="E5 E6:E1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F5" sqref="F5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38" t="s">
        <v>144</v>
      </c>
    </row>
    <row r="2" spans="1:6" x14ac:dyDescent="0.3">
      <c r="A2" s="37" t="s">
        <v>2</v>
      </c>
    </row>
    <row r="3" spans="1:6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  <ignoredErrors>
    <ignoredError sqref="E5:E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</row>
    <row r="6" spans="1:6" x14ac:dyDescent="0.3">
      <c r="B6" s="15">
        <v>45294</v>
      </c>
      <c r="C6" s="39" t="s">
        <v>148</v>
      </c>
      <c r="D6" s="39">
        <v>170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8" activePane="bottomLeft" state="frozen"/>
      <selection pane="bottomLeft" activeCell="F17" sqref="F17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</row>
    <row r="6" spans="1:11" x14ac:dyDescent="0.3">
      <c r="B6" s="39" t="s">
        <v>157</v>
      </c>
      <c r="C6" s="39" t="s">
        <v>94</v>
      </c>
      <c r="D6" s="39">
        <v>31500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161</v>
      </c>
      <c r="C8" s="39" t="s">
        <v>92</v>
      </c>
      <c r="D8" s="61">
        <v>9100</v>
      </c>
      <c r="F8" t="e">
        <v>#N/A</v>
      </c>
      <c r="G8" t="str">
        <f>IFERROR(AVERAGEIF($B$4:$B$11,F4,$D$4:$D$11),"Not Found")</f>
        <v>Not Found</v>
      </c>
    </row>
    <row r="9" spans="1:10" x14ac:dyDescent="0.3">
      <c r="B9" s="39" t="s">
        <v>162</v>
      </c>
      <c r="C9" s="39" t="s">
        <v>94</v>
      </c>
      <c r="D9" s="61">
        <v>6900</v>
      </c>
      <c r="F9" t="e">
        <v>#VALUE!</v>
      </c>
      <c r="G9" t="str">
        <f>IFERROR(AVERAGEIF($B$4:$B$11,F5,$D$4:$D$11),"No Data")</f>
        <v>No Data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  <c r="G10" t="str">
        <f>IFERROR(AVERAGEIF($B$4:$B$11,F6,$D$4:$D$11),"Not Available")</f>
        <v>Not Available</v>
      </c>
    </row>
    <row r="11" spans="1:10" x14ac:dyDescent="0.3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163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161</v>
      </c>
      <c r="C5" s="39" t="s">
        <v>94</v>
      </c>
      <c r="D5" s="39">
        <v>28500</v>
      </c>
    </row>
    <row r="6" spans="1:12" x14ac:dyDescent="0.3">
      <c r="B6" s="39" t="s">
        <v>162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161</v>
      </c>
      <c r="C8" s="39" t="s">
        <v>94</v>
      </c>
      <c r="D8" s="39">
        <v>32000</v>
      </c>
    </row>
    <row r="9" spans="1:12" x14ac:dyDescent="0.3">
      <c r="B9" s="39" t="s">
        <v>162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">
      <c r="B4" s="39" t="s">
        <v>89</v>
      </c>
      <c r="C4" s="39" t="s">
        <v>166</v>
      </c>
      <c r="D4" s="39"/>
    </row>
    <row r="5" spans="1:7" x14ac:dyDescent="0.3">
      <c r="B5" s="39" t="s">
        <v>91</v>
      </c>
      <c r="C5" s="39"/>
      <c r="D5" s="39"/>
    </row>
    <row r="6" spans="1:7" x14ac:dyDescent="0.3">
      <c r="B6" s="39" t="s">
        <v>93</v>
      </c>
      <c r="C6" s="39" t="s">
        <v>167</v>
      </c>
      <c r="D6" s="39"/>
    </row>
    <row r="7" spans="1:7" x14ac:dyDescent="0.3">
      <c r="B7" s="39" t="s">
        <v>91</v>
      </c>
      <c r="C7" s="39"/>
      <c r="D7" s="39"/>
    </row>
    <row r="8" spans="1:7" x14ac:dyDescent="0.3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168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173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3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180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184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SMALL(F4:F11,3)</f>
        <v>9100</v>
      </c>
    </row>
    <row r="6" spans="1:11" x14ac:dyDescent="0.3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191</v>
      </c>
    </row>
    <row r="2" spans="1:12" x14ac:dyDescent="0.3">
      <c r="A2" s="37" t="s">
        <v>2</v>
      </c>
    </row>
    <row r="3" spans="1:12" x14ac:dyDescent="0.3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3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3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3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3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3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3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3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206</v>
      </c>
    </row>
    <row r="2" spans="1:5" x14ac:dyDescent="0.3">
      <c r="A2" s="37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2" t="s">
        <v>198</v>
      </c>
      <c r="C4" s="39">
        <v>154</v>
      </c>
      <c r="E4">
        <f>COUNT(C4:C11)</f>
        <v>6</v>
      </c>
    </row>
    <row r="5" spans="1:5" x14ac:dyDescent="0.3">
      <c r="B5" s="52" t="s">
        <v>199</v>
      </c>
      <c r="C5" s="39">
        <v>174</v>
      </c>
      <c r="E5">
        <f>COUNT(C3:C11)</f>
        <v>6</v>
      </c>
    </row>
    <row r="6" spans="1:5" x14ac:dyDescent="0.3">
      <c r="B6" s="52" t="s">
        <v>200</v>
      </c>
      <c r="C6" s="39" t="s">
        <v>207</v>
      </c>
    </row>
    <row r="7" spans="1:5" x14ac:dyDescent="0.3">
      <c r="B7" s="52" t="s">
        <v>201</v>
      </c>
      <c r="C7" s="39">
        <v>177</v>
      </c>
    </row>
    <row r="8" spans="1:5" x14ac:dyDescent="0.3">
      <c r="B8" s="52" t="s">
        <v>202</v>
      </c>
      <c r="C8" s="39" t="s">
        <v>207</v>
      </c>
    </row>
    <row r="9" spans="1:5" x14ac:dyDescent="0.3">
      <c r="B9" s="52" t="s">
        <v>203</v>
      </c>
      <c r="C9" s="39">
        <v>209</v>
      </c>
    </row>
    <row r="10" spans="1:5" x14ac:dyDescent="0.3">
      <c r="B10" s="52" t="s">
        <v>204</v>
      </c>
      <c r="C10" s="39">
        <v>225</v>
      </c>
    </row>
    <row r="11" spans="1:5" x14ac:dyDescent="0.3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208</v>
      </c>
    </row>
    <row r="2" spans="1:4" x14ac:dyDescent="0.3">
      <c r="A2" s="37" t="s">
        <v>2</v>
      </c>
    </row>
    <row r="3" spans="1:4" x14ac:dyDescent="0.3">
      <c r="B3" s="42" t="s">
        <v>209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  <c r="D5">
        <f>COUNTA(B4:B11)</f>
        <v>6</v>
      </c>
    </row>
    <row r="6" spans="1:4" x14ac:dyDescent="0.3">
      <c r="B6" s="39" t="s">
        <v>210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H12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.75" x14ac:dyDescent="0.3"/>
  <cols>
    <col min="2" max="2" width="14" customWidth="1"/>
    <col min="3" max="3" width="11.59765625" customWidth="1"/>
  </cols>
  <sheetData>
    <row r="1" spans="1:8" s="2" customFormat="1" ht="32.65" customHeight="1" thickBot="1" x14ac:dyDescent="0.35">
      <c r="A1" s="36">
        <v>22</v>
      </c>
      <c r="B1" s="1" t="s">
        <v>211</v>
      </c>
    </row>
    <row r="2" spans="1:8" x14ac:dyDescent="0.3">
      <c r="A2" s="37" t="s">
        <v>2</v>
      </c>
    </row>
    <row r="3" spans="1:8" x14ac:dyDescent="0.3">
      <c r="B3" s="3" t="s">
        <v>192</v>
      </c>
      <c r="C3" s="42" t="s">
        <v>196</v>
      </c>
      <c r="E3" t="s">
        <v>212</v>
      </c>
    </row>
    <row r="4" spans="1:8" x14ac:dyDescent="0.3">
      <c r="B4" s="52" t="s">
        <v>198</v>
      </c>
      <c r="C4" s="39">
        <v>154</v>
      </c>
      <c r="E4">
        <f>COUNTBLANK(C4:C11)</f>
        <v>2</v>
      </c>
      <c r="H4" t="s">
        <v>978</v>
      </c>
    </row>
    <row r="5" spans="1:8" x14ac:dyDescent="0.3">
      <c r="B5" s="52" t="s">
        <v>199</v>
      </c>
      <c r="C5" s="39">
        <v>174</v>
      </c>
      <c r="E5">
        <f>COUNTBLANK(C4:C11)</f>
        <v>2</v>
      </c>
      <c r="G5">
        <v>154</v>
      </c>
      <c r="H5">
        <f>COUNTBLANK(G5:G12)</f>
        <v>0</v>
      </c>
    </row>
    <row r="6" spans="1:8" x14ac:dyDescent="0.3">
      <c r="B6" s="52" t="s">
        <v>200</v>
      </c>
      <c r="C6" s="39"/>
      <c r="G6">
        <v>174</v>
      </c>
    </row>
    <row r="7" spans="1:8" x14ac:dyDescent="0.3">
      <c r="B7" s="52" t="s">
        <v>201</v>
      </c>
      <c r="C7" s="39">
        <v>177</v>
      </c>
      <c r="G7">
        <v>161</v>
      </c>
    </row>
    <row r="8" spans="1:8" x14ac:dyDescent="0.3">
      <c r="B8" s="52" t="s">
        <v>202</v>
      </c>
      <c r="C8" s="39"/>
      <c r="G8">
        <v>177</v>
      </c>
    </row>
    <row r="9" spans="1:8" x14ac:dyDescent="0.3">
      <c r="B9" s="52" t="s">
        <v>203</v>
      </c>
      <c r="C9" s="39">
        <v>209</v>
      </c>
      <c r="G9">
        <v>184</v>
      </c>
    </row>
    <row r="10" spans="1:8" x14ac:dyDescent="0.3">
      <c r="B10" s="52" t="s">
        <v>204</v>
      </c>
      <c r="C10" s="39">
        <v>225</v>
      </c>
      <c r="G10">
        <v>209</v>
      </c>
    </row>
    <row r="11" spans="1:8" x14ac:dyDescent="0.3">
      <c r="B11" s="52" t="s">
        <v>205</v>
      </c>
      <c r="C11" s="39">
        <v>245</v>
      </c>
      <c r="G11">
        <v>225</v>
      </c>
    </row>
    <row r="12" spans="1:8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213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">
      <c r="B5" s="39" t="s">
        <v>217</v>
      </c>
      <c r="C5" s="39" t="s">
        <v>92</v>
      </c>
      <c r="D5" s="39">
        <v>6200</v>
      </c>
    </row>
    <row r="6" spans="1:10" x14ac:dyDescent="0.3">
      <c r="B6" s="39" t="s">
        <v>218</v>
      </c>
      <c r="C6" s="39" t="s">
        <v>94</v>
      </c>
      <c r="D6" s="39">
        <v>31500</v>
      </c>
    </row>
    <row r="7" spans="1:10" x14ac:dyDescent="0.3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">
      <c r="B9" s="39" t="s">
        <v>222</v>
      </c>
      <c r="C9" s="39" t="s">
        <v>94</v>
      </c>
      <c r="D9" s="39">
        <v>7200</v>
      </c>
    </row>
    <row r="10" spans="1:10" x14ac:dyDescent="0.3">
      <c r="B10" s="39" t="s">
        <v>223</v>
      </c>
      <c r="C10" s="39" t="s">
        <v>90</v>
      </c>
      <c r="D10" s="39">
        <v>27500</v>
      </c>
    </row>
    <row r="11" spans="1:10" x14ac:dyDescent="0.3">
      <c r="B11" s="39" t="s">
        <v>224</v>
      </c>
      <c r="C11" s="39" t="s">
        <v>92</v>
      </c>
      <c r="D11" s="39">
        <v>6400</v>
      </c>
    </row>
    <row r="12" spans="1:10" x14ac:dyDescent="0.3">
      <c r="B12" s="39" t="s">
        <v>225</v>
      </c>
      <c r="C12" s="39" t="s">
        <v>94</v>
      </c>
      <c r="D12" s="39">
        <v>5900</v>
      </c>
    </row>
    <row r="13" spans="1:10" x14ac:dyDescent="0.3">
      <c r="B13" s="39" t="s">
        <v>219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COUNTIF(B18:B27,F18)</f>
        <v>1</v>
      </c>
    </row>
    <row r="19" spans="2:9" x14ac:dyDescent="0.3">
      <c r="B19" s="39" t="s">
        <v>227</v>
      </c>
      <c r="C19" s="39" t="s">
        <v>92</v>
      </c>
      <c r="D19" s="39">
        <v>5000</v>
      </c>
    </row>
    <row r="20" spans="2:9" x14ac:dyDescent="0.3">
      <c r="B20" s="39" t="s">
        <v>228</v>
      </c>
      <c r="C20" s="39" t="s">
        <v>94</v>
      </c>
      <c r="D20" s="39">
        <v>76000</v>
      </c>
    </row>
    <row r="21" spans="2:9" x14ac:dyDescent="0.3">
      <c r="B21" s="39" t="s">
        <v>229</v>
      </c>
      <c r="C21" s="39" t="s">
        <v>90</v>
      </c>
      <c r="D21" s="39">
        <v>45000</v>
      </c>
    </row>
    <row r="22" spans="2:9" x14ac:dyDescent="0.3">
      <c r="B22" s="39" t="s">
        <v>230</v>
      </c>
      <c r="C22" s="39" t="s">
        <v>92</v>
      </c>
      <c r="D22" s="39">
        <v>8700</v>
      </c>
    </row>
    <row r="23" spans="2:9" x14ac:dyDescent="0.3">
      <c r="B23" s="39" t="s">
        <v>228</v>
      </c>
      <c r="C23" s="39" t="s">
        <v>94</v>
      </c>
      <c r="D23" s="39">
        <v>5600</v>
      </c>
    </row>
    <row r="24" spans="2:9" x14ac:dyDescent="0.3">
      <c r="B24" s="39" t="s">
        <v>231</v>
      </c>
      <c r="C24" s="39" t="s">
        <v>90</v>
      </c>
      <c r="D24" s="39">
        <v>45000</v>
      </c>
    </row>
    <row r="25" spans="2:9" x14ac:dyDescent="0.3">
      <c r="B25" s="39" t="s">
        <v>232</v>
      </c>
      <c r="C25" s="39" t="s">
        <v>92</v>
      </c>
      <c r="D25" s="39">
        <v>5600</v>
      </c>
    </row>
    <row r="26" spans="2:9" x14ac:dyDescent="0.3">
      <c r="B26" s="39" t="s">
        <v>228</v>
      </c>
      <c r="C26" s="39" t="s">
        <v>94</v>
      </c>
      <c r="D26" s="39">
        <v>5600</v>
      </c>
    </row>
    <row r="27" spans="2:9" x14ac:dyDescent="0.3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2" activePane="bottomLeft" state="frozen"/>
      <selection pane="bottomLeft" activeCell="H19" sqref="H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234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9" t="s">
        <v>237</v>
      </c>
      <c r="C5" s="39" t="s">
        <v>92</v>
      </c>
      <c r="D5" s="39">
        <v>6200</v>
      </c>
    </row>
    <row r="6" spans="1:11" x14ac:dyDescent="0.3">
      <c r="B6" s="39" t="s">
        <v>238</v>
      </c>
      <c r="C6" s="39" t="s">
        <v>94</v>
      </c>
      <c r="D6" s="39">
        <v>31500</v>
      </c>
    </row>
    <row r="7" spans="1:11" x14ac:dyDescent="0.3">
      <c r="B7" s="39" t="s">
        <v>235</v>
      </c>
      <c r="C7" s="39" t="s">
        <v>90</v>
      </c>
      <c r="D7" s="39">
        <v>28500</v>
      </c>
    </row>
    <row r="8" spans="1:11" x14ac:dyDescent="0.3">
      <c r="B8" s="39" t="s">
        <v>237</v>
      </c>
      <c r="C8" s="39" t="s">
        <v>92</v>
      </c>
      <c r="D8" s="39">
        <v>9400</v>
      </c>
    </row>
    <row r="9" spans="1:11" x14ac:dyDescent="0.3">
      <c r="B9" s="39" t="s">
        <v>238</v>
      </c>
      <c r="C9" s="39" t="s">
        <v>94</v>
      </c>
      <c r="D9" s="39">
        <v>7200</v>
      </c>
    </row>
    <row r="10" spans="1:11" x14ac:dyDescent="0.3">
      <c r="B10" s="39" t="s">
        <v>235</v>
      </c>
      <c r="C10" s="39" t="s">
        <v>90</v>
      </c>
      <c r="D10" s="39">
        <v>27500</v>
      </c>
    </row>
    <row r="11" spans="1:11" x14ac:dyDescent="0.3">
      <c r="B11" s="39" t="s">
        <v>237</v>
      </c>
      <c r="C11" s="39" t="s">
        <v>92</v>
      </c>
      <c r="D11" s="39">
        <v>6400</v>
      </c>
    </row>
    <row r="12" spans="1:11" x14ac:dyDescent="0.3">
      <c r="B12" s="39" t="s">
        <v>239</v>
      </c>
      <c r="C12" s="39" t="s">
        <v>94</v>
      </c>
      <c r="D12" s="39">
        <v>5900</v>
      </c>
    </row>
    <row r="13" spans="1:11" x14ac:dyDescent="0.3">
      <c r="B13" s="39" t="s">
        <v>235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COUNTIFS(B18:B27,F18,C18:C27,G18)</f>
        <v>2</v>
      </c>
    </row>
    <row r="19" spans="2:9" x14ac:dyDescent="0.3">
      <c r="B19" s="39" t="s">
        <v>237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239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241</v>
      </c>
      <c r="C25" s="39" t="s">
        <v>92</v>
      </c>
      <c r="D25" s="39">
        <v>5600</v>
      </c>
    </row>
    <row r="26" spans="2:9" x14ac:dyDescent="0.3">
      <c r="B26" s="39" t="s">
        <v>242</v>
      </c>
      <c r="C26" s="39" t="s">
        <v>94</v>
      </c>
      <c r="D26" s="39">
        <v>5600</v>
      </c>
    </row>
    <row r="27" spans="2:9" x14ac:dyDescent="0.3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dimension ref="A1:I14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243</v>
      </c>
    </row>
    <row r="2" spans="1:9" x14ac:dyDescent="0.3">
      <c r="A2" s="37" t="s">
        <v>2</v>
      </c>
    </row>
    <row r="3" spans="1:9" x14ac:dyDescent="0.3">
      <c r="B3" s="137" t="s">
        <v>244</v>
      </c>
      <c r="C3" s="22">
        <f>SUBTOTAL(109,D6:D14)</f>
        <v>41</v>
      </c>
      <c r="E3" s="3" t="s">
        <v>245</v>
      </c>
      <c r="F3" s="22">
        <f>SUBTOTAL(109,F6:F14)</f>
        <v>6645</v>
      </c>
      <c r="H3" s="3" t="s">
        <v>246</v>
      </c>
      <c r="I3" s="22">
        <f>SUBTOTAL(2,F6:F14)</f>
        <v>9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/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247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">
      <c r="B18" s="51" t="s">
        <v>255</v>
      </c>
      <c r="C18" s="39">
        <v>14500</v>
      </c>
      <c r="D18" s="39">
        <f t="shared" ref="D18:D25" si="2">C18*5%</f>
        <v>725</v>
      </c>
      <c r="E18" s="56">
        <f>C18+C18*10%</f>
        <v>15950</v>
      </c>
      <c r="F18" s="50"/>
    </row>
    <row r="19" spans="2:7" x14ac:dyDescent="0.3">
      <c r="B19" s="51" t="s">
        <v>256</v>
      </c>
      <c r="C19" s="39">
        <v>11500</v>
      </c>
      <c r="D19" s="39">
        <f t="shared" si="2"/>
        <v>575</v>
      </c>
      <c r="E19" s="39">
        <f t="shared" ref="E19:E25" si="3">C19+C19*10%</f>
        <v>12650</v>
      </c>
      <c r="F19" s="50"/>
    </row>
    <row r="20" spans="2:7" x14ac:dyDescent="0.3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263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3">
      <c r="B5" t="s">
        <v>265</v>
      </c>
      <c r="C5">
        <v>200</v>
      </c>
      <c r="D5" s="24" t="e" vm="1">
        <f ca="1">_xlfn.PERCENTOF(C5,$C$4:$C$12)</f>
        <v>#NAME?</v>
      </c>
    </row>
    <row r="6" spans="1:7" x14ac:dyDescent="0.3">
      <c r="B6" t="s">
        <v>266</v>
      </c>
      <c r="C6">
        <v>60</v>
      </c>
      <c r="D6" s="24" t="e" vm="1">
        <f t="shared" ref="D6:D12" ca="1" si="0">_xlfn.PERCENTOF(C6,$C$4:$C$12)</f>
        <v>#NAME?</v>
      </c>
    </row>
    <row r="7" spans="1:7" x14ac:dyDescent="0.3">
      <c r="B7" t="s">
        <v>267</v>
      </c>
      <c r="C7">
        <v>40</v>
      </c>
      <c r="D7" s="24" t="e" vm="1">
        <f t="shared" ca="1" si="0"/>
        <v>#NAME?</v>
      </c>
    </row>
    <row r="8" spans="1:7" x14ac:dyDescent="0.3">
      <c r="B8" t="s">
        <v>268</v>
      </c>
      <c r="C8">
        <v>25</v>
      </c>
      <c r="D8" s="24" t="e" vm="1">
        <f t="shared" ca="1" si="0"/>
        <v>#NAME?</v>
      </c>
    </row>
    <row r="9" spans="1:7" x14ac:dyDescent="0.3">
      <c r="B9" t="s">
        <v>269</v>
      </c>
      <c r="C9">
        <v>35</v>
      </c>
      <c r="D9" s="24" t="e" vm="1">
        <f t="shared" ca="1" si="0"/>
        <v>#NAME?</v>
      </c>
    </row>
    <row r="10" spans="1:7" x14ac:dyDescent="0.3">
      <c r="B10" t="s">
        <v>270</v>
      </c>
      <c r="C10">
        <v>350</v>
      </c>
      <c r="D10" s="24" t="e" vm="1">
        <f t="shared" ca="1" si="0"/>
        <v>#NAME?</v>
      </c>
    </row>
    <row r="11" spans="1:7" x14ac:dyDescent="0.3">
      <c r="B11" t="s">
        <v>271</v>
      </c>
      <c r="C11">
        <v>70</v>
      </c>
      <c r="D11" s="24" t="e" vm="1">
        <f t="shared" ca="1" si="0"/>
        <v>#NAME?</v>
      </c>
    </row>
    <row r="12" spans="1:7" x14ac:dyDescent="0.3">
      <c r="B12" t="s">
        <v>272</v>
      </c>
      <c r="C12">
        <v>90</v>
      </c>
      <c r="D12" s="24" t="e" vm="1">
        <f t="shared" ca="1" si="0"/>
        <v>#NAME?</v>
      </c>
    </row>
    <row r="13" spans="1:7" x14ac:dyDescent="0.3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273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209</v>
      </c>
      <c r="E3" s="38"/>
    </row>
    <row r="4" spans="1:5" x14ac:dyDescent="0.3">
      <c r="B4" s="39" t="s">
        <v>274</v>
      </c>
      <c r="C4" s="39">
        <f ca="1">RAND()</f>
        <v>0.34850514743477656</v>
      </c>
    </row>
    <row r="5" spans="1:5" x14ac:dyDescent="0.3">
      <c r="B5" s="39" t="s">
        <v>215</v>
      </c>
      <c r="C5" s="39">
        <f t="shared" ref="C5:C12" ca="1" si="0">RAND()</f>
        <v>3.4588377682081006E-3</v>
      </c>
    </row>
    <row r="6" spans="1:5" x14ac:dyDescent="0.3">
      <c r="B6" s="39" t="s">
        <v>275</v>
      </c>
      <c r="C6" s="39">
        <f t="shared" ca="1" si="0"/>
        <v>0.20616687898521768</v>
      </c>
    </row>
    <row r="7" spans="1:5" x14ac:dyDescent="0.3">
      <c r="B7" s="39" t="s">
        <v>276</v>
      </c>
      <c r="C7" s="39">
        <f t="shared" ca="1" si="0"/>
        <v>0.36557255180587522</v>
      </c>
    </row>
    <row r="8" spans="1:5" x14ac:dyDescent="0.3">
      <c r="B8" s="39" t="s">
        <v>277</v>
      </c>
      <c r="C8" s="39">
        <f t="shared" ca="1" si="0"/>
        <v>0.56904483860246302</v>
      </c>
    </row>
    <row r="9" spans="1:5" x14ac:dyDescent="0.3">
      <c r="B9" s="39" t="s">
        <v>278</v>
      </c>
      <c r="C9" s="39">
        <f t="shared" ca="1" si="0"/>
        <v>0.57431010476511724</v>
      </c>
    </row>
    <row r="10" spans="1:5" x14ac:dyDescent="0.3">
      <c r="B10" s="39" t="s">
        <v>222</v>
      </c>
      <c r="C10" s="39">
        <f t="shared" ca="1" si="0"/>
        <v>0.81850856818982798</v>
      </c>
    </row>
    <row r="11" spans="1:5" x14ac:dyDescent="0.3">
      <c r="B11" s="39" t="s">
        <v>224</v>
      </c>
      <c r="C11" s="39">
        <f t="shared" ca="1" si="0"/>
        <v>0.45360073069856732</v>
      </c>
    </row>
    <row r="12" spans="1:5" x14ac:dyDescent="0.3">
      <c r="B12" s="39" t="s">
        <v>279</v>
      </c>
      <c r="C12" s="39">
        <f t="shared" ca="1" si="0"/>
        <v>0.59676387335166103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4" sqref="G4:G11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280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15</v>
      </c>
      <c r="D4" s="4">
        <v>5</v>
      </c>
      <c r="E4" s="4">
        <v>89</v>
      </c>
      <c r="F4" s="4">
        <f>SUM(C4,E4)</f>
        <v>104</v>
      </c>
      <c r="G4" s="26">
        <f ca="1">RANDBETWEEN(1,100)</f>
        <v>77</v>
      </c>
    </row>
    <row r="5" spans="1:7" x14ac:dyDescent="0.3">
      <c r="B5" s="52" t="s">
        <v>201</v>
      </c>
      <c r="C5" s="4">
        <v>16</v>
      </c>
      <c r="D5" s="4">
        <v>36</v>
      </c>
      <c r="E5" s="4">
        <v>13</v>
      </c>
      <c r="F5" s="4">
        <f t="shared" ref="F5:F11" si="0">SUM(C5,E5)</f>
        <v>29</v>
      </c>
      <c r="G5" s="26">
        <f t="shared" ref="G5:G11" ca="1" si="1">RANDBETWEEN(1,100)</f>
        <v>66</v>
      </c>
    </row>
    <row r="6" spans="1:7" x14ac:dyDescent="0.3">
      <c r="B6" s="52" t="s">
        <v>204</v>
      </c>
      <c r="C6" s="4">
        <v>50</v>
      </c>
      <c r="D6" s="4">
        <v>53</v>
      </c>
      <c r="E6" s="4">
        <v>76</v>
      </c>
      <c r="F6" s="4">
        <f t="shared" si="0"/>
        <v>126</v>
      </c>
      <c r="G6" s="26">
        <f t="shared" ca="1" si="1"/>
        <v>36</v>
      </c>
    </row>
    <row r="7" spans="1:7" x14ac:dyDescent="0.3">
      <c r="B7" s="52" t="s">
        <v>198</v>
      </c>
      <c r="C7" s="4">
        <v>20</v>
      </c>
      <c r="D7" s="4">
        <v>54</v>
      </c>
      <c r="E7" s="4">
        <v>19</v>
      </c>
      <c r="F7" s="4">
        <f t="shared" si="0"/>
        <v>39</v>
      </c>
      <c r="G7" s="26">
        <f t="shared" ca="1" si="1"/>
        <v>100</v>
      </c>
    </row>
    <row r="8" spans="1:7" x14ac:dyDescent="0.3">
      <c r="B8" s="52" t="s">
        <v>200</v>
      </c>
      <c r="C8" s="4">
        <v>19</v>
      </c>
      <c r="D8" s="4">
        <v>54</v>
      </c>
      <c r="E8" s="4">
        <v>67</v>
      </c>
      <c r="F8" s="4">
        <f t="shared" si="0"/>
        <v>86</v>
      </c>
      <c r="G8" s="26">
        <f t="shared" ca="1" si="1"/>
        <v>62</v>
      </c>
    </row>
    <row r="9" spans="1:7" x14ac:dyDescent="0.3">
      <c r="B9" s="52" t="s">
        <v>202</v>
      </c>
      <c r="C9" s="4">
        <v>81</v>
      </c>
      <c r="D9" s="4">
        <v>20</v>
      </c>
      <c r="E9" s="4">
        <v>28</v>
      </c>
      <c r="F9" s="4">
        <f t="shared" si="0"/>
        <v>109</v>
      </c>
      <c r="G9" s="26">
        <f t="shared" ca="1" si="1"/>
        <v>93</v>
      </c>
    </row>
    <row r="10" spans="1:7" x14ac:dyDescent="0.3">
      <c r="B10" s="52" t="s">
        <v>203</v>
      </c>
      <c r="C10" s="4">
        <v>86</v>
      </c>
      <c r="D10" s="4">
        <v>74</v>
      </c>
      <c r="E10" s="4">
        <v>9</v>
      </c>
      <c r="F10" s="4">
        <f t="shared" si="0"/>
        <v>95</v>
      </c>
      <c r="G10" s="26">
        <f t="shared" ca="1" si="1"/>
        <v>99</v>
      </c>
    </row>
    <row r="11" spans="1:7" x14ac:dyDescent="0.3">
      <c r="B11" s="52" t="s">
        <v>199</v>
      </c>
      <c r="C11" s="4">
        <v>40</v>
      </c>
      <c r="D11" s="4">
        <v>10</v>
      </c>
      <c r="E11" s="4">
        <v>66</v>
      </c>
      <c r="F11" s="4">
        <f t="shared" si="0"/>
        <v>106</v>
      </c>
      <c r="G11" s="26">
        <f t="shared" ca="1" si="1"/>
        <v>85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5" s="2" customFormat="1" ht="32.65" customHeight="1" thickBot="1" x14ac:dyDescent="0.35">
      <c r="A1" s="36">
        <v>30</v>
      </c>
      <c r="B1" s="1" t="s">
        <v>281</v>
      </c>
    </row>
    <row r="2" spans="1:5" x14ac:dyDescent="0.3">
      <c r="A2" s="37" t="s">
        <v>2</v>
      </c>
    </row>
    <row r="3" spans="1:5" x14ac:dyDescent="0.3">
      <c r="B3" s="3" t="s">
        <v>282</v>
      </c>
    </row>
    <row r="4" spans="1:5" x14ac:dyDescent="0.3">
      <c r="B4" s="4">
        <v>-2000</v>
      </c>
      <c r="D4">
        <f>ABS(B4)</f>
        <v>2000</v>
      </c>
      <c r="E4">
        <f>ABS(B4)</f>
        <v>2000</v>
      </c>
    </row>
    <row r="5" spans="1:5" x14ac:dyDescent="0.3">
      <c r="B5" s="4">
        <v>5000</v>
      </c>
      <c r="D5">
        <f t="shared" ref="D5:D11" si="0">ABS(B5)</f>
        <v>5000</v>
      </c>
      <c r="E5">
        <f t="shared" ref="E5:E11" si="1">ABS(B5)</f>
        <v>5000</v>
      </c>
    </row>
    <row r="6" spans="1:5" x14ac:dyDescent="0.3">
      <c r="B6" s="4">
        <v>10000</v>
      </c>
      <c r="D6">
        <f t="shared" si="0"/>
        <v>10000</v>
      </c>
      <c r="E6">
        <f t="shared" si="1"/>
        <v>10000</v>
      </c>
    </row>
    <row r="7" spans="1:5" x14ac:dyDescent="0.3">
      <c r="B7" s="4">
        <v>-5000</v>
      </c>
      <c r="D7">
        <f t="shared" si="0"/>
        <v>5000</v>
      </c>
      <c r="E7">
        <f t="shared" si="1"/>
        <v>5000</v>
      </c>
    </row>
    <row r="8" spans="1:5" x14ac:dyDescent="0.3">
      <c r="B8" s="4">
        <v>-12000</v>
      </c>
      <c r="D8">
        <f t="shared" si="0"/>
        <v>12000</v>
      </c>
      <c r="E8">
        <f t="shared" si="1"/>
        <v>12000</v>
      </c>
    </row>
    <row r="9" spans="1:5" x14ac:dyDescent="0.3">
      <c r="B9" s="4">
        <v>-2500</v>
      </c>
      <c r="D9">
        <f t="shared" si="0"/>
        <v>2500</v>
      </c>
      <c r="E9">
        <f t="shared" si="1"/>
        <v>2500</v>
      </c>
    </row>
    <row r="10" spans="1:5" x14ac:dyDescent="0.3">
      <c r="B10" s="4">
        <v>1500</v>
      </c>
      <c r="D10">
        <f t="shared" si="0"/>
        <v>1500</v>
      </c>
      <c r="E10">
        <f t="shared" si="1"/>
        <v>1500</v>
      </c>
    </row>
    <row r="11" spans="1:5" x14ac:dyDescent="0.3">
      <c r="B11" s="4">
        <v>-1350</v>
      </c>
      <c r="D11">
        <f t="shared" si="0"/>
        <v>1350</v>
      </c>
      <c r="E11">
        <f t="shared" si="1"/>
        <v>1350</v>
      </c>
    </row>
    <row r="12" spans="1:5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 activeCell="I10" sqref="I10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283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141">
        <v>0.67333333333333334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141"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141">
        <v>0.5033333333333333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141"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141">
        <v>0.49333333333333335</v>
      </c>
    </row>
    <row r="9" spans="1:7" x14ac:dyDescent="0.3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141">
        <v>0.79333333333333333</v>
      </c>
    </row>
    <row r="10" spans="1:7" x14ac:dyDescent="0.3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141">
        <v>0.60666666666666669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141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H10" sqref="H10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284</v>
      </c>
    </row>
    <row r="2" spans="1:7" x14ac:dyDescent="0.3">
      <c r="A2" s="37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  <c r="G10" t="str">
        <f>TEXT(E10,"ddd,mmm yyy")</f>
        <v>Fri,Mar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  <c r="G11" t="str">
        <f t="shared" ref="G11:G13" si="0">TEXT(E11,"ddd,mmm yyy")</f>
        <v>Mon,Apr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  <c r="G12" t="str">
        <f t="shared" si="0"/>
        <v>Sat,Jun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  <c r="G13" t="str">
        <f t="shared" si="0"/>
        <v>Fri,Mar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287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288</v>
      </c>
      <c r="C4" s="39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</row>
    <row r="6" spans="1:5" x14ac:dyDescent="0.3">
      <c r="B6" s="39" t="s">
        <v>289</v>
      </c>
      <c r="C6" s="39" t="str">
        <f t="shared" si="0"/>
        <v>JUICE</v>
      </c>
    </row>
    <row r="7" spans="1:5" x14ac:dyDescent="0.3">
      <c r="B7" s="39" t="s">
        <v>290</v>
      </c>
      <c r="C7" s="39" t="str">
        <f t="shared" si="0"/>
        <v>APPLE</v>
      </c>
    </row>
    <row r="8" spans="1:5" x14ac:dyDescent="0.3">
      <c r="B8" s="39" t="s">
        <v>291</v>
      </c>
      <c r="C8" s="39" t="str">
        <f t="shared" si="0"/>
        <v>CAKE</v>
      </c>
    </row>
    <row r="9" spans="1:5" x14ac:dyDescent="0.3">
      <c r="B9" s="39" t="s">
        <v>292</v>
      </c>
      <c r="C9" s="39" t="str">
        <f t="shared" si="0"/>
        <v>RICE</v>
      </c>
    </row>
    <row r="10" spans="1:5" x14ac:dyDescent="0.3">
      <c r="B10" s="39" t="s">
        <v>293</v>
      </c>
      <c r="C10" s="39" t="str">
        <f t="shared" si="0"/>
        <v>JAM</v>
      </c>
    </row>
    <row r="11" spans="1:5" x14ac:dyDescent="0.3">
      <c r="B11" s="39" t="s">
        <v>294</v>
      </c>
      <c r="C11" s="39" t="str">
        <f t="shared" si="0"/>
        <v>NUTS</v>
      </c>
    </row>
    <row r="12" spans="1:5" x14ac:dyDescent="0.3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296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297</v>
      </c>
      <c r="C4" s="4" t="str">
        <f>LOWER(B4)</f>
        <v>milk</v>
      </c>
    </row>
    <row r="5" spans="1:3" x14ac:dyDescent="0.3">
      <c r="B5" s="39" t="s">
        <v>298</v>
      </c>
      <c r="C5" s="4" t="str">
        <f t="shared" ref="C5:C12" si="0">LOWER(B5)</f>
        <v>butter</v>
      </c>
    </row>
    <row r="6" spans="1:3" x14ac:dyDescent="0.3">
      <c r="B6" s="39" t="s">
        <v>299</v>
      </c>
      <c r="C6" s="4" t="str">
        <f t="shared" si="0"/>
        <v>cheese</v>
      </c>
    </row>
    <row r="7" spans="1:3" x14ac:dyDescent="0.3">
      <c r="B7" s="39" t="s">
        <v>300</v>
      </c>
      <c r="C7" s="4" t="str">
        <f t="shared" si="0"/>
        <v>curd</v>
      </c>
    </row>
    <row r="8" spans="1:3" x14ac:dyDescent="0.3">
      <c r="B8" s="39" t="s">
        <v>301</v>
      </c>
      <c r="C8" s="4" t="str">
        <f t="shared" si="0"/>
        <v>ghee</v>
      </c>
    </row>
    <row r="9" spans="1:3" x14ac:dyDescent="0.3">
      <c r="B9" s="39" t="s">
        <v>302</v>
      </c>
      <c r="C9" s="4" t="str">
        <f t="shared" si="0"/>
        <v>cream</v>
      </c>
    </row>
    <row r="10" spans="1:3" x14ac:dyDescent="0.3">
      <c r="B10" s="39" t="s">
        <v>303</v>
      </c>
      <c r="C10" s="4" t="str">
        <f t="shared" si="0"/>
        <v>paneer</v>
      </c>
    </row>
    <row r="11" spans="1:3" x14ac:dyDescent="0.3">
      <c r="B11" s="39" t="s">
        <v>304</v>
      </c>
      <c r="C11" s="4" t="str">
        <f t="shared" si="0"/>
        <v>lassi</v>
      </c>
    </row>
    <row r="12" spans="1:3" x14ac:dyDescent="0.3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306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307</v>
      </c>
      <c r="C4" s="39" t="str">
        <f t="shared" ref="C4:C12" si="0">PROPER(B4)</f>
        <v>Wallet</v>
      </c>
    </row>
    <row r="5" spans="1:3" x14ac:dyDescent="0.3">
      <c r="B5" s="39" t="s">
        <v>308</v>
      </c>
      <c r="C5" s="39" t="str">
        <f t="shared" si="0"/>
        <v>Sunglasses</v>
      </c>
    </row>
    <row r="6" spans="1:3" x14ac:dyDescent="0.3">
      <c r="B6" s="39" t="s">
        <v>309</v>
      </c>
      <c r="C6" s="39" t="str">
        <f t="shared" si="0"/>
        <v>Watch</v>
      </c>
    </row>
    <row r="7" spans="1:3" x14ac:dyDescent="0.3">
      <c r="B7" s="39" t="s">
        <v>310</v>
      </c>
      <c r="C7" s="39" t="str">
        <f t="shared" si="0"/>
        <v>Belt</v>
      </c>
    </row>
    <row r="8" spans="1:3" x14ac:dyDescent="0.3">
      <c r="B8" s="39" t="s">
        <v>311</v>
      </c>
      <c r="C8" s="39" t="str">
        <f t="shared" si="0"/>
        <v>Shoes</v>
      </c>
    </row>
    <row r="9" spans="1:3" x14ac:dyDescent="0.3">
      <c r="B9" s="39" t="s">
        <v>312</v>
      </c>
      <c r="C9" s="39" t="str">
        <f t="shared" si="0"/>
        <v>Tie</v>
      </c>
    </row>
    <row r="10" spans="1:3" x14ac:dyDescent="0.3">
      <c r="B10" s="39" t="s">
        <v>313</v>
      </c>
      <c r="C10" s="39" t="str">
        <f t="shared" si="0"/>
        <v>Backpack</v>
      </c>
    </row>
    <row r="11" spans="1:3" x14ac:dyDescent="0.3">
      <c r="B11" s="39" t="s">
        <v>314</v>
      </c>
      <c r="C11" s="39" t="str">
        <f t="shared" si="0"/>
        <v>Cap</v>
      </c>
    </row>
    <row r="12" spans="1:3" x14ac:dyDescent="0.3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I8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4" width="13" customWidth="1"/>
    <col min="5" max="5" width="25.69921875" customWidth="1"/>
  </cols>
  <sheetData>
    <row r="1" spans="1:9" s="2" customFormat="1" ht="32.65" customHeight="1" thickBot="1" x14ac:dyDescent="0.35">
      <c r="A1" s="36">
        <v>36</v>
      </c>
      <c r="B1" s="1" t="s">
        <v>316</v>
      </c>
    </row>
    <row r="2" spans="1:9" x14ac:dyDescent="0.3">
      <c r="A2" s="37" t="s">
        <v>2</v>
      </c>
    </row>
    <row r="3" spans="1:9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9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  <c r="F4" t="str" cm="1">
        <f t="array" ref="F4:H4">UPPER(B4:D4)</f>
        <v>RAJ</v>
      </c>
      <c r="G4" t="str">
        <v>KUMAR</v>
      </c>
      <c r="H4" t="str">
        <v>SINGH</v>
      </c>
      <c r="I4" t="str">
        <f>CONCATENATE(F4&amp;"      ",G4&amp;" ",H4&amp;" ")</f>
        <v xml:space="preserve">RAJ      KUMAR SINGH </v>
      </c>
    </row>
    <row r="5" spans="1:9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  <c r="F5" t="str" cm="1">
        <f t="array" ref="F5:H5">UPPER(B5:D5)</f>
        <v>MONU</v>
      </c>
      <c r="G5" t="str">
        <v/>
      </c>
      <c r="H5" t="str">
        <v>SHARMA</v>
      </c>
      <c r="I5" t="str">
        <f>CONCATENATE(F5&amp;"  ",G5&amp;" ",H5&amp;" ")</f>
        <v xml:space="preserve">MONU   SHARMA </v>
      </c>
    </row>
    <row r="6" spans="1:9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  <c r="F6" t="str" cm="1">
        <f t="array" ref="F6:H6">UPPER(B6:D6)</f>
        <v>JK</v>
      </c>
      <c r="G6" t="str">
        <v>RAKESH</v>
      </c>
      <c r="H6" t="str">
        <v>KUMAR</v>
      </c>
      <c r="I6" t="str">
        <f t="shared" ref="I5:I8" si="0">CONCATENATE(F6&amp;" ",G6&amp;" ",H6&amp;" ")</f>
        <v xml:space="preserve">JK RAKESH KUMAR </v>
      </c>
    </row>
    <row r="7" spans="1:9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  <c r="F7" t="str" cm="1">
        <f t="array" ref="F7:H7">UPPER(B7:D7)</f>
        <v>RAJU</v>
      </c>
      <c r="G7" t="str">
        <v>SINGH</v>
      </c>
      <c r="H7" t="str">
        <v>TEWATIA</v>
      </c>
      <c r="I7" t="str">
        <f t="shared" si="0"/>
        <v xml:space="preserve">RAJU SINGH TEWATIA </v>
      </c>
    </row>
    <row r="8" spans="1:9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  <c r="F8" t="str" cm="1">
        <f t="array" ref="F8:H8">UPPER(B8:D8)</f>
        <v>AMIT</v>
      </c>
      <c r="G8" t="str">
        <v/>
      </c>
      <c r="H8" t="str">
        <v>JAIN</v>
      </c>
      <c r="I8" t="str">
        <f t="shared" si="0"/>
        <v xml:space="preserve">AMIT  JAIN 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F8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4" width="13" customWidth="1"/>
    <col min="5" max="5" width="25.69921875" customWidth="1"/>
  </cols>
  <sheetData>
    <row r="1" spans="1:6" s="2" customFormat="1" ht="32.65" customHeight="1" thickBot="1" x14ac:dyDescent="0.35">
      <c r="A1" s="36">
        <v>38</v>
      </c>
      <c r="B1" s="1" t="s">
        <v>334</v>
      </c>
    </row>
    <row r="2" spans="1:6" x14ac:dyDescent="0.3">
      <c r="A2" s="37" t="s">
        <v>2</v>
      </c>
    </row>
    <row r="3" spans="1:6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6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  <c r="F4" t="str">
        <f>_xlfn.TEXTJOIN("_",TRUE,B4:D4)</f>
        <v>raj_kumar_singh</v>
      </c>
    </row>
    <row r="5" spans="1:6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6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6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6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F11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6" s="2" customFormat="1" ht="32.65" customHeight="1" thickBot="1" x14ac:dyDescent="0.35">
      <c r="A1" s="36">
        <v>39</v>
      </c>
      <c r="B1" s="1" t="s">
        <v>335</v>
      </c>
    </row>
    <row r="2" spans="1:6" x14ac:dyDescent="0.3">
      <c r="A2" s="37" t="s">
        <v>2</v>
      </c>
    </row>
    <row r="3" spans="1:6" x14ac:dyDescent="0.3">
      <c r="B3" s="3" t="s">
        <v>336</v>
      </c>
      <c r="C3" s="3" t="s">
        <v>337</v>
      </c>
    </row>
    <row r="4" spans="1:6" x14ac:dyDescent="0.3">
      <c r="B4" s="4" t="s">
        <v>338</v>
      </c>
      <c r="C4" s="4" t="str">
        <f>LEFT(B4,6)</f>
        <v>110062</v>
      </c>
    </row>
    <row r="5" spans="1:6" x14ac:dyDescent="0.3">
      <c r="B5" s="4" t="s">
        <v>339</v>
      </c>
      <c r="C5" s="4" t="str">
        <f>LEFT(B5,6)</f>
        <v>121102</v>
      </c>
    </row>
    <row r="6" spans="1:6" x14ac:dyDescent="0.3">
      <c r="B6" s="4" t="s">
        <v>340</v>
      </c>
      <c r="C6" s="4" t="str">
        <f>LEFT(B6,6)</f>
        <v>140003</v>
      </c>
    </row>
    <row r="7" spans="1:6" x14ac:dyDescent="0.3">
      <c r="B7" s="4" t="s">
        <v>341</v>
      </c>
      <c r="C7" s="4" t="str">
        <f>LEFT(B7,6)</f>
        <v>121102</v>
      </c>
    </row>
    <row r="9" spans="1:6" x14ac:dyDescent="0.3">
      <c r="B9" t="s">
        <v>342</v>
      </c>
      <c r="C9">
        <f>FIND(",",B9)-1</f>
        <v>5</v>
      </c>
      <c r="E9" t="str">
        <f>LEFT(B9,FIND(",",B9)-1)</f>
        <v>delhi</v>
      </c>
      <c r="F9" t="str">
        <f>LEFT(B9,5)</f>
        <v>delhi</v>
      </c>
    </row>
    <row r="10" spans="1:6" x14ac:dyDescent="0.3">
      <c r="B10" t="s">
        <v>343</v>
      </c>
      <c r="C10">
        <f>FIND(",",B10)</f>
        <v>10</v>
      </c>
      <c r="E10" t="str">
        <f>LEFT(B10,FIND(",",B10)-1)</f>
        <v>faridabad</v>
      </c>
      <c r="F10" t="str">
        <f>LEFT(B10,FIND(",",B10)-1)</f>
        <v>faridabad</v>
      </c>
    </row>
    <row r="11" spans="1:6" x14ac:dyDescent="0.3">
      <c r="B11" t="s">
        <v>344</v>
      </c>
      <c r="C11">
        <f>FIND(",",B11)</f>
        <v>7</v>
      </c>
      <c r="E11" t="str">
        <f>LEFT(B11,FIND(",",B11)-1)</f>
        <v>palwal</v>
      </c>
      <c r="F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D13"/>
  <sheetViews>
    <sheetView zoomScale="130" zoomScaleNormal="130" workbookViewId="0">
      <pane ySplit="1" topLeftCell="A2" activePane="bottomLeft" state="frozen"/>
      <selection pane="bottomLeft" activeCell="E10" sqref="E10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4" s="2" customFormat="1" ht="32.65" customHeight="1" thickBot="1" x14ac:dyDescent="0.35">
      <c r="A1" s="36">
        <v>40</v>
      </c>
      <c r="B1" s="1" t="s">
        <v>345</v>
      </c>
    </row>
    <row r="2" spans="1:4" x14ac:dyDescent="0.3">
      <c r="A2" s="37" t="s">
        <v>2</v>
      </c>
    </row>
    <row r="3" spans="1:4" x14ac:dyDescent="0.3">
      <c r="B3" s="3" t="s">
        <v>336</v>
      </c>
      <c r="C3" s="3" t="s">
        <v>346</v>
      </c>
    </row>
    <row r="4" spans="1:4" x14ac:dyDescent="0.3">
      <c r="B4" s="4" t="s">
        <v>338</v>
      </c>
      <c r="C4" s="4" t="str">
        <f>RIGHT(B4,10)</f>
        <v>9999999999</v>
      </c>
      <c r="D4" t="str">
        <f>RIGHT(B4,9)</f>
        <v>999999999</v>
      </c>
    </row>
    <row r="5" spans="1:4" x14ac:dyDescent="0.3">
      <c r="B5" s="4" t="s">
        <v>339</v>
      </c>
      <c r="C5" s="4" t="str">
        <f>RIGHT(B5,10)</f>
        <v>4444444444</v>
      </c>
      <c r="D5" t="str">
        <f t="shared" ref="D5:D7" si="0">RIGHT(B5,9)</f>
        <v>444444444</v>
      </c>
    </row>
    <row r="6" spans="1:4" x14ac:dyDescent="0.3">
      <c r="B6" s="4" t="s">
        <v>340</v>
      </c>
      <c r="C6" s="4" t="str">
        <f>RIGHT(B6,10)</f>
        <v>3333333333</v>
      </c>
      <c r="D6" t="str">
        <f t="shared" si="0"/>
        <v>333333333</v>
      </c>
    </row>
    <row r="7" spans="1:4" x14ac:dyDescent="0.3">
      <c r="B7" s="4" t="s">
        <v>341</v>
      </c>
      <c r="C7" s="4" t="str">
        <f>RIGHT(B7,10)</f>
        <v>4456555555</v>
      </c>
      <c r="D7" t="str">
        <f t="shared" si="0"/>
        <v>456555555</v>
      </c>
    </row>
    <row r="8" spans="1:4" x14ac:dyDescent="0.3">
      <c r="C8" s="4" t="str">
        <f>RIGHT(B8,10)</f>
        <v/>
      </c>
    </row>
    <row r="9" spans="1:4" x14ac:dyDescent="0.3">
      <c r="B9" t="s">
        <v>346</v>
      </c>
    </row>
    <row r="10" spans="1:4" x14ac:dyDescent="0.3">
      <c r="B10">
        <v>91224567890</v>
      </c>
      <c r="C10" t="str">
        <f>C11</f>
        <v>9122****891</v>
      </c>
      <c r="D10" t="str">
        <f>LEFT(B10,4)&amp;"****"&amp;RIGHT(B10,3)</f>
        <v>9122****890</v>
      </c>
    </row>
    <row r="11" spans="1:4" x14ac:dyDescent="0.3">
      <c r="B11">
        <v>91224567891</v>
      </c>
      <c r="C11" t="str">
        <f>LEFT(B11,4)&amp;"****"&amp;RIGHT(B11,3)</f>
        <v>9122****891</v>
      </c>
      <c r="D11" t="str">
        <f t="shared" ref="D11:D13" si="1">LEFT(B11,4)&amp;"****"&amp;RIGHT(B11,3)</f>
        <v>9122****891</v>
      </c>
    </row>
    <row r="12" spans="1:4" x14ac:dyDescent="0.3">
      <c r="B12">
        <v>91224567892</v>
      </c>
      <c r="C12" t="str">
        <f>LEFT(B12,4)&amp;"****"&amp;RIGHT(B12,3)</f>
        <v>9122****892</v>
      </c>
      <c r="D12" t="str">
        <f t="shared" si="1"/>
        <v>9122****892</v>
      </c>
    </row>
    <row r="13" spans="1:4" x14ac:dyDescent="0.3">
      <c r="B13">
        <v>91224567893</v>
      </c>
      <c r="C13" t="str">
        <f>LEFT(B13,4)&amp;"****"&amp;RIGHT(B13,3)</f>
        <v>9122****893</v>
      </c>
      <c r="D13" t="str">
        <f t="shared" si="1"/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D7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4" s="2" customFormat="1" ht="32.65" customHeight="1" thickBot="1" x14ac:dyDescent="0.35">
      <c r="A1" s="36">
        <v>41</v>
      </c>
      <c r="B1" s="1" t="s">
        <v>347</v>
      </c>
    </row>
    <row r="2" spans="1:4" x14ac:dyDescent="0.3">
      <c r="A2" s="37" t="s">
        <v>2</v>
      </c>
    </row>
    <row r="3" spans="1:4" x14ac:dyDescent="0.3">
      <c r="B3" s="3" t="s">
        <v>348</v>
      </c>
      <c r="C3" s="3"/>
    </row>
    <row r="4" spans="1:4" x14ac:dyDescent="0.3">
      <c r="B4" s="4" t="s">
        <v>349</v>
      </c>
      <c r="C4" s="4" t="str">
        <f>MID(B4,7,7)</f>
        <v>2343454</v>
      </c>
      <c r="D4" t="str">
        <f>MID(B4,7,7)</f>
        <v>2343454</v>
      </c>
    </row>
    <row r="5" spans="1:4" x14ac:dyDescent="0.3">
      <c r="B5" s="4" t="s">
        <v>350</v>
      </c>
      <c r="C5" s="4" t="str">
        <f>MID(B5,7,7)</f>
        <v>2343455</v>
      </c>
      <c r="D5" t="str">
        <f t="shared" ref="D5:D7" si="0">MID(B5,7,7)</f>
        <v>2343455</v>
      </c>
    </row>
    <row r="6" spans="1:4" x14ac:dyDescent="0.3">
      <c r="B6" s="4" t="s">
        <v>351</v>
      </c>
      <c r="C6" s="4" t="str">
        <f>MID(B6,7,7)</f>
        <v>2343456</v>
      </c>
      <c r="D6" t="str">
        <f t="shared" si="0"/>
        <v>2343456</v>
      </c>
    </row>
    <row r="7" spans="1:4" x14ac:dyDescent="0.3">
      <c r="B7" s="4" t="s">
        <v>352</v>
      </c>
      <c r="C7" s="4" t="str">
        <f>MID(B7,7,7)</f>
        <v>2343457</v>
      </c>
      <c r="D7" t="str">
        <f t="shared" si="0"/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topLeftCell="E1" zoomScale="130" zoomScaleNormal="130" workbookViewId="0">
      <pane ySplit="1" topLeftCell="A2" activePane="bottomLeft" state="frozen"/>
      <selection pane="bottomLeft" activeCell="E17" sqref="E17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353</v>
      </c>
      <c r="C1" s="1" t="s">
        <v>354</v>
      </c>
    </row>
    <row r="2" spans="1:15" ht="19.5" thickBot="1" x14ac:dyDescent="0.3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">
      <c r="A3" s="37" t="s">
        <v>954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C6" sqref="C6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cm="1">
        <f t="array" aca="1" ref="C4" ca="1">TEXTBEFORE(B4,",",2)</f>
        <v>#NAME?</v>
      </c>
    </row>
    <row r="5" spans="1:3" x14ac:dyDescent="0.3">
      <c r="B5" s="4" t="s">
        <v>339</v>
      </c>
      <c r="C5" s="4" t="e" vm="1">
        <f ca="1">_xlfn.TEXTBEFORE(B5,",",2)</f>
        <v>#NAME?</v>
      </c>
    </row>
    <row r="6" spans="1:3" x14ac:dyDescent="0.3">
      <c r="B6" s="4" t="s">
        <v>340</v>
      </c>
      <c r="C6" s="4" t="e" vm="1">
        <f ca="1">_xlfn.TEXTBEFORE(B6,",",2)</f>
        <v>#NAME?</v>
      </c>
    </row>
    <row r="7" spans="1:3" x14ac:dyDescent="0.3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583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_xlfn.TEXTAFTER(B4,",",2)</f>
        <v>#NAME?</v>
      </c>
    </row>
    <row r="5" spans="1:3" x14ac:dyDescent="0.3">
      <c r="B5" s="4" t="s">
        <v>339</v>
      </c>
      <c r="C5" s="4" t="e" vm="1">
        <f ca="1">_xlfn.TEXTAFTER(B5,",",2)</f>
        <v>#NAME?</v>
      </c>
    </row>
    <row r="6" spans="1:3" x14ac:dyDescent="0.3">
      <c r="B6" s="4" t="s">
        <v>340</v>
      </c>
      <c r="C6" s="4" t="e" vm="1">
        <f ca="1">_xlfn.TEXTAFTER(B6,",",2)</f>
        <v>#NAME?</v>
      </c>
    </row>
    <row r="7" spans="1:3" x14ac:dyDescent="0.3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3" s="2" customFormat="1" ht="32.65" customHeight="1" thickBot="1" x14ac:dyDescent="0.35">
      <c r="A1" s="36">
        <v>45</v>
      </c>
      <c r="B1" s="1" t="s">
        <v>584</v>
      </c>
    </row>
    <row r="2" spans="1:3" x14ac:dyDescent="0.3">
      <c r="A2" s="37" t="s">
        <v>2</v>
      </c>
    </row>
    <row r="3" spans="1:3" x14ac:dyDescent="0.3">
      <c r="B3" s="3" t="s">
        <v>320</v>
      </c>
    </row>
    <row r="4" spans="1:3" x14ac:dyDescent="0.3">
      <c r="B4" s="4" t="s">
        <v>979</v>
      </c>
      <c r="C4" t="str">
        <f>TRIM(B4)</f>
        <v>raj kumar singh</v>
      </c>
    </row>
    <row r="5" spans="1:3" x14ac:dyDescent="0.3">
      <c r="B5" s="4" t="s">
        <v>585</v>
      </c>
      <c r="C5" t="str">
        <f t="shared" ref="C5:C11" si="0">TRIM(B5)</f>
        <v>Sonu Sharma</v>
      </c>
    </row>
    <row r="6" spans="1:3" x14ac:dyDescent="0.3">
      <c r="B6" s="4" t="s">
        <v>586</v>
      </c>
      <c r="C6" t="str">
        <f t="shared" si="0"/>
        <v>DK rakesh kumar</v>
      </c>
    </row>
    <row r="7" spans="1:3" x14ac:dyDescent="0.3">
      <c r="B7" s="20" t="s">
        <v>587</v>
      </c>
      <c r="C7" t="str">
        <f t="shared" si="0"/>
        <v>Ram Singh Tewatia</v>
      </c>
    </row>
    <row r="8" spans="1:3" x14ac:dyDescent="0.3">
      <c r="B8" s="39" t="s">
        <v>588</v>
      </c>
      <c r="C8" t="str">
        <f t="shared" si="0"/>
        <v>raj rathore</v>
      </c>
    </row>
    <row r="9" spans="1:3" x14ac:dyDescent="0.3">
      <c r="B9" s="5" t="s">
        <v>589</v>
      </c>
      <c r="C9" t="str">
        <f t="shared" si="0"/>
        <v>Monu Sharma</v>
      </c>
    </row>
    <row r="10" spans="1:3" x14ac:dyDescent="0.3">
      <c r="B10" s="4" t="s">
        <v>590</v>
      </c>
      <c r="C10" t="str">
        <f t="shared" si="0"/>
        <v>rakesh kumar</v>
      </c>
    </row>
    <row r="11" spans="1:3" x14ac:dyDescent="0.3">
      <c r="B11" s="4" t="s">
        <v>587</v>
      </c>
      <c r="C11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L15"/>
  <sheetViews>
    <sheetView zoomScale="130" zoomScaleNormal="130" workbookViewId="0">
      <pane ySplit="1" topLeftCell="A2" activePane="bottomLeft" state="frozen"/>
      <selection pane="bottomLeft" activeCell="I11" sqref="I11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12" s="2" customFormat="1" ht="32.65" customHeight="1" thickBot="1" x14ac:dyDescent="0.35">
      <c r="A1" s="36">
        <v>46</v>
      </c>
      <c r="B1" s="1" t="s">
        <v>591</v>
      </c>
    </row>
    <row r="2" spans="1:12" x14ac:dyDescent="0.3">
      <c r="A2" s="37" t="s">
        <v>2</v>
      </c>
    </row>
    <row r="3" spans="1:12" x14ac:dyDescent="0.3">
      <c r="B3" s="3" t="s">
        <v>592</v>
      </c>
      <c r="C3" s="42" t="s">
        <v>85</v>
      </c>
      <c r="D3" s="42" t="s">
        <v>86</v>
      </c>
      <c r="E3" s="42" t="s">
        <v>87</v>
      </c>
    </row>
    <row r="4" spans="1:12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12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12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12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12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12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  <c r="I10" t="str" cm="1">
        <f t="array" ref="I10:L15">TRANSPOSE(B10:G13)</f>
        <v>region</v>
      </c>
      <c r="J10" t="str">
        <v>Jan</v>
      </c>
      <c r="K10" t="str">
        <v>Feb</v>
      </c>
      <c r="L10" t="str">
        <v>Mar</v>
      </c>
    </row>
    <row r="11" spans="1:12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  <c r="I11" t="str">
        <v>East</v>
      </c>
      <c r="J11">
        <v>15800</v>
      </c>
      <c r="K11">
        <v>42000</v>
      </c>
      <c r="L11">
        <v>26700</v>
      </c>
    </row>
    <row r="12" spans="1:12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  <c r="I12" t="str">
        <v>West</v>
      </c>
      <c r="J12">
        <v>19300</v>
      </c>
      <c r="K12">
        <v>9800</v>
      </c>
      <c r="L12">
        <v>7400</v>
      </c>
    </row>
    <row r="13" spans="1:12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  <c r="I13" t="str">
        <v>North</v>
      </c>
      <c r="J13">
        <v>8700</v>
      </c>
      <c r="K13">
        <v>10200</v>
      </c>
      <c r="L13">
        <v>28300</v>
      </c>
    </row>
    <row r="14" spans="1:12" x14ac:dyDescent="0.3">
      <c r="I14" t="str">
        <v>East</v>
      </c>
      <c r="J14">
        <v>31400</v>
      </c>
      <c r="K14">
        <v>24800</v>
      </c>
      <c r="L14">
        <v>21500</v>
      </c>
    </row>
    <row r="15" spans="1:12" x14ac:dyDescent="0.3">
      <c r="I15" t="str">
        <v>West</v>
      </c>
      <c r="J15">
        <v>22600</v>
      </c>
      <c r="K15">
        <v>7700</v>
      </c>
      <c r="L15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C9" sqref="C9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593</v>
      </c>
    </row>
    <row r="2" spans="1:6" x14ac:dyDescent="0.3">
      <c r="A2" s="37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594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e" cm="1">
        <f t="array" aca="1" ref="C8" ca="1">textsplit(B8,",")</f>
        <v>#NAME?</v>
      </c>
      <c r="D8" s="4"/>
      <c r="E8" s="4"/>
    </row>
    <row r="9" spans="1:6" x14ac:dyDescent="0.3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336</v>
      </c>
      <c r="C11" s="3" t="s">
        <v>595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596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597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G11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8.75" x14ac:dyDescent="0.3"/>
  <cols>
    <col min="2" max="3" width="15.8984375" customWidth="1"/>
    <col min="4" max="5" width="16" customWidth="1"/>
    <col min="6" max="6" width="16.796875" customWidth="1"/>
    <col min="7" max="7" width="10.296875" bestFit="1" customWidth="1"/>
  </cols>
  <sheetData>
    <row r="1" spans="1:7" s="2" customFormat="1" ht="32.65" customHeight="1" thickBot="1" x14ac:dyDescent="0.35">
      <c r="A1" s="36">
        <v>48</v>
      </c>
      <c r="B1" s="1" t="s">
        <v>598</v>
      </c>
    </row>
    <row r="2" spans="1:7" x14ac:dyDescent="0.3">
      <c r="A2" s="37" t="s">
        <v>2</v>
      </c>
    </row>
    <row r="3" spans="1:7" x14ac:dyDescent="0.3">
      <c r="B3" t="s">
        <v>599</v>
      </c>
      <c r="C3" t="s">
        <v>600</v>
      </c>
    </row>
    <row r="4" spans="1:7" x14ac:dyDescent="0.3">
      <c r="B4" s="29">
        <f ca="1">NOW()</f>
        <v>46213.761923958336</v>
      </c>
      <c r="C4" s="30">
        <f ca="1">TODAY()</f>
        <v>46213</v>
      </c>
    </row>
    <row r="9" spans="1:7" x14ac:dyDescent="0.3">
      <c r="B9" s="3" t="s">
        <v>601</v>
      </c>
      <c r="C9" s="3" t="s">
        <v>346</v>
      </c>
      <c r="D9" s="3" t="s">
        <v>602</v>
      </c>
      <c r="E9" s="3" t="s">
        <v>603</v>
      </c>
      <c r="F9" s="154" t="s">
        <v>599</v>
      </c>
      <c r="G9" s="154" t="s">
        <v>600</v>
      </c>
    </row>
    <row r="10" spans="1:7" x14ac:dyDescent="0.3">
      <c r="B10" s="4" t="s">
        <v>604</v>
      </c>
      <c r="C10" s="4" t="s">
        <v>210</v>
      </c>
      <c r="D10" s="32">
        <v>0.61944444444444446</v>
      </c>
      <c r="E10" s="27">
        <v>45584</v>
      </c>
      <c r="F10" s="29">
        <f ca="1">NOW()</f>
        <v>46213.761923958336</v>
      </c>
      <c r="G10" s="30">
        <f ca="1">TODAY()</f>
        <v>46213</v>
      </c>
    </row>
    <row r="11" spans="1:7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F12"/>
  <sheetViews>
    <sheetView zoomScale="130" zoomScaleNormal="130" workbookViewId="0">
      <pane ySplit="1" topLeftCell="A3" activePane="bottomLeft" state="frozen"/>
      <selection pane="bottomLeft" activeCell="J21" sqref="J20:J21"/>
    </sheetView>
  </sheetViews>
  <sheetFormatPr defaultRowHeight="18.75" x14ac:dyDescent="0.3"/>
  <cols>
    <col min="2" max="4" width="12.59765625" customWidth="1"/>
    <col min="5" max="5" width="15.69921875" customWidth="1"/>
    <col min="6" max="6" width="9.59765625" customWidth="1"/>
  </cols>
  <sheetData>
    <row r="1" spans="1:6" s="2" customFormat="1" ht="32.65" customHeight="1" thickBot="1" x14ac:dyDescent="0.35">
      <c r="A1" s="36">
        <v>49</v>
      </c>
      <c r="B1" s="1" t="s">
        <v>605</v>
      </c>
    </row>
    <row r="2" spans="1:6" x14ac:dyDescent="0.3">
      <c r="A2" s="37" t="s">
        <v>2</v>
      </c>
    </row>
    <row r="3" spans="1:6" x14ac:dyDescent="0.3">
      <c r="B3" s="3" t="s">
        <v>141</v>
      </c>
      <c r="C3" s="3" t="s">
        <v>607</v>
      </c>
      <c r="D3" s="3" t="s">
        <v>608</v>
      </c>
      <c r="E3" s="3" t="s">
        <v>606</v>
      </c>
    </row>
    <row r="4" spans="1:6" x14ac:dyDescent="0.3">
      <c r="B4" s="27">
        <f>DATE(2024,1,20)</f>
        <v>45311</v>
      </c>
      <c r="C4" s="4">
        <f>MONTH(B4)</f>
        <v>1</v>
      </c>
      <c r="D4" s="4">
        <f>YEAR(B4)</f>
        <v>2024</v>
      </c>
      <c r="E4" s="155">
        <f>DAY(B4)</f>
        <v>20</v>
      </c>
      <c r="F4" t="str">
        <f>TEXT(B4,"mmmm")</f>
        <v>January</v>
      </c>
    </row>
    <row r="5" spans="1:6" x14ac:dyDescent="0.3">
      <c r="B5" s="27">
        <f>DATE(2024,1,20)</f>
        <v>45311</v>
      </c>
      <c r="C5" s="4">
        <f>MONTH(B5)</f>
        <v>1</v>
      </c>
      <c r="D5" s="4">
        <f>YEAR(B5)</f>
        <v>2024</v>
      </c>
      <c r="E5" s="4">
        <f>DAY(B5)</f>
        <v>20</v>
      </c>
    </row>
    <row r="7" spans="1:6" x14ac:dyDescent="0.3">
      <c r="B7" s="3" t="s">
        <v>606</v>
      </c>
      <c r="C7" s="3" t="s">
        <v>607</v>
      </c>
      <c r="D7" s="3" t="s">
        <v>608</v>
      </c>
      <c r="E7" s="3" t="s">
        <v>141</v>
      </c>
    </row>
    <row r="8" spans="1:6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6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6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6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6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609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606</v>
      </c>
      <c r="D3" s="3" t="s">
        <v>607</v>
      </c>
      <c r="E3" s="3" t="s">
        <v>608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610</v>
      </c>
    </row>
    <row r="2" spans="1:4" x14ac:dyDescent="0.3">
      <c r="A2" s="37" t="s">
        <v>2</v>
      </c>
    </row>
    <row r="3" spans="1:4" x14ac:dyDescent="0.3">
      <c r="B3" s="3" t="s">
        <v>611</v>
      </c>
      <c r="C3" s="3" t="s">
        <v>612</v>
      </c>
      <c r="D3" s="3" t="s">
        <v>613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D11"/>
  <sheetViews>
    <sheetView zoomScale="130" zoomScaleNormal="130" workbookViewId="0">
      <pane ySplit="1" topLeftCell="A2" activePane="bottomLeft" state="frozen"/>
      <selection pane="bottomLeft" activeCell="D4" sqref="D4:D8"/>
    </sheetView>
  </sheetViews>
  <sheetFormatPr defaultRowHeight="18.75" x14ac:dyDescent="0.3"/>
  <cols>
    <col min="2" max="2" width="16.59765625" customWidth="1"/>
    <col min="3" max="3" width="35.796875" customWidth="1"/>
    <col min="4" max="4" width="11.69921875" customWidth="1"/>
  </cols>
  <sheetData>
    <row r="1" spans="1:4" s="2" customFormat="1" ht="32.65" customHeight="1" thickBot="1" x14ac:dyDescent="0.35">
      <c r="A1" s="36">
        <v>52</v>
      </c>
      <c r="B1" s="1" t="s">
        <v>614</v>
      </c>
    </row>
    <row r="2" spans="1:4" x14ac:dyDescent="0.3">
      <c r="A2" s="37" t="s">
        <v>2</v>
      </c>
    </row>
    <row r="3" spans="1:4" x14ac:dyDescent="0.3">
      <c r="B3" s="3" t="s">
        <v>615</v>
      </c>
      <c r="C3" s="3" t="s">
        <v>616</v>
      </c>
      <c r="D3" s="3" t="s">
        <v>616</v>
      </c>
    </row>
    <row r="4" spans="1:4" x14ac:dyDescent="0.3">
      <c r="B4" s="27">
        <v>45323</v>
      </c>
      <c r="C4" s="27">
        <f>EDATE(B4,-3)</f>
        <v>45231</v>
      </c>
      <c r="D4" s="30">
        <f>EDATE(B4,3)</f>
        <v>45413</v>
      </c>
    </row>
    <row r="5" spans="1:4" x14ac:dyDescent="0.3">
      <c r="B5" s="27">
        <v>45354</v>
      </c>
      <c r="C5" s="27">
        <f>EDATE(B5,3)</f>
        <v>45446</v>
      </c>
      <c r="D5" s="30">
        <f t="shared" ref="D5:D8" si="0">EDATE(B5,3)</f>
        <v>45446</v>
      </c>
    </row>
    <row r="6" spans="1:4" x14ac:dyDescent="0.3">
      <c r="B6" s="27">
        <v>45385</v>
      </c>
      <c r="C6" s="27">
        <f>EDATE(B6,3)</f>
        <v>45476</v>
      </c>
      <c r="D6" s="30">
        <f t="shared" si="0"/>
        <v>45476</v>
      </c>
    </row>
    <row r="7" spans="1:4" x14ac:dyDescent="0.3">
      <c r="B7" s="27">
        <v>45416</v>
      </c>
      <c r="C7" s="27">
        <f>EDATE(B7,3)</f>
        <v>45508</v>
      </c>
      <c r="D7" s="30">
        <f t="shared" si="0"/>
        <v>45508</v>
      </c>
    </row>
    <row r="8" spans="1:4" x14ac:dyDescent="0.3">
      <c r="B8" s="27">
        <v>45447</v>
      </c>
      <c r="C8" s="27">
        <f>EDATE(B8,3)</f>
        <v>45539</v>
      </c>
      <c r="D8" s="30">
        <f t="shared" si="0"/>
        <v>45539</v>
      </c>
    </row>
    <row r="10" spans="1:4" x14ac:dyDescent="0.3">
      <c r="B10" t="s">
        <v>617</v>
      </c>
    </row>
    <row r="11" spans="1:4" x14ac:dyDescent="0.3">
      <c r="B11" t="s">
        <v>618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D8"/>
  <sheetViews>
    <sheetView zoomScale="130" zoomScaleNormal="130" workbookViewId="0">
      <pane ySplit="1" topLeftCell="A2" activePane="bottomLeft" state="frozen"/>
      <selection pane="bottomLeft" activeCell="D4" sqref="D4:D8"/>
    </sheetView>
  </sheetViews>
  <sheetFormatPr defaultRowHeight="18.75" x14ac:dyDescent="0.3"/>
  <cols>
    <col min="2" max="2" width="16.59765625" customWidth="1"/>
    <col min="3" max="3" width="18.19921875" customWidth="1"/>
    <col min="4" max="4" width="10.3984375" customWidth="1"/>
  </cols>
  <sheetData>
    <row r="1" spans="1:4" s="2" customFormat="1" ht="32.65" customHeight="1" thickBot="1" x14ac:dyDescent="0.35">
      <c r="A1" s="36">
        <v>53</v>
      </c>
      <c r="B1" s="1" t="s">
        <v>619</v>
      </c>
    </row>
    <row r="2" spans="1:4" x14ac:dyDescent="0.3">
      <c r="A2" s="37" t="s">
        <v>2</v>
      </c>
    </row>
    <row r="3" spans="1:4" x14ac:dyDescent="0.3">
      <c r="B3" s="3" t="s">
        <v>615</v>
      </c>
      <c r="C3" s="3" t="s">
        <v>620</v>
      </c>
    </row>
    <row r="4" spans="1:4" x14ac:dyDescent="0.3">
      <c r="B4" s="27">
        <v>45323</v>
      </c>
      <c r="C4" s="27">
        <f>EOMONTH(B4,-1)</f>
        <v>45322</v>
      </c>
      <c r="D4" s="30">
        <f>EOMONTH(B4,-2)</f>
        <v>45291</v>
      </c>
    </row>
    <row r="5" spans="1:4" x14ac:dyDescent="0.3">
      <c r="B5" s="27">
        <v>45354</v>
      </c>
      <c r="C5" s="27">
        <f>EOMONTH(B5,-1)</f>
        <v>45351</v>
      </c>
      <c r="D5" s="30">
        <f t="shared" ref="D5:D8" si="0">EOMONTH(B5,-2)</f>
        <v>45322</v>
      </c>
    </row>
    <row r="6" spans="1:4" x14ac:dyDescent="0.3">
      <c r="B6" s="27">
        <v>45385</v>
      </c>
      <c r="C6" s="27">
        <f>EOMONTH(B6,-1)</f>
        <v>45382</v>
      </c>
      <c r="D6" s="30">
        <f t="shared" si="0"/>
        <v>45351</v>
      </c>
    </row>
    <row r="7" spans="1:4" x14ac:dyDescent="0.3">
      <c r="B7" s="27">
        <v>45416</v>
      </c>
      <c r="C7" s="27">
        <f>EOMONTH(B7,-1)</f>
        <v>45412</v>
      </c>
      <c r="D7" s="30">
        <f t="shared" si="0"/>
        <v>45382</v>
      </c>
    </row>
    <row r="8" spans="1:4" x14ac:dyDescent="0.3">
      <c r="B8" s="27">
        <v>45447</v>
      </c>
      <c r="C8" s="27">
        <f>EOMONTH(B8,-1)</f>
        <v>45443</v>
      </c>
      <c r="D8" s="30">
        <f t="shared" si="0"/>
        <v>45412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13"/>
  <sheetViews>
    <sheetView zoomScale="130" zoomScaleNormal="130" workbookViewId="0">
      <pane ySplit="1" topLeftCell="A2" activePane="bottomLeft" state="frozen"/>
      <selection pane="bottomLeft" activeCell="F11" sqref="F11:F13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621</v>
      </c>
    </row>
    <row r="2" spans="1:6" x14ac:dyDescent="0.3">
      <c r="A2" s="37" t="s">
        <v>2</v>
      </c>
    </row>
    <row r="3" spans="1:6" x14ac:dyDescent="0.3">
      <c r="B3" s="3" t="s">
        <v>622</v>
      </c>
      <c r="C3" s="3" t="s">
        <v>623</v>
      </c>
      <c r="D3" s="3" t="s">
        <v>624</v>
      </c>
      <c r="E3" s="3" t="s">
        <v>625</v>
      </c>
      <c r="F3" s="3" t="s">
        <v>626</v>
      </c>
    </row>
    <row r="4" spans="1:6" x14ac:dyDescent="0.3">
      <c r="B4" s="27">
        <v>36557</v>
      </c>
      <c r="C4" s="27">
        <f ca="1">TODAY()</f>
        <v>46213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9656</v>
      </c>
    </row>
    <row r="5" spans="1:6" x14ac:dyDescent="0.3">
      <c r="B5" s="27">
        <v>43893</v>
      </c>
      <c r="C5" s="27">
        <f ca="1">TODAY()</f>
        <v>46213</v>
      </c>
      <c r="D5" s="4">
        <f ca="1">DATEDIF(B5,C5,"y")</f>
        <v>6</v>
      </c>
      <c r="E5" s="4">
        <f ca="1">DATEDIF(B5,C5,"m")</f>
        <v>76</v>
      </c>
      <c r="F5" s="4">
        <f ca="1">DATEDIF(B5,C5,"d")</f>
        <v>2320</v>
      </c>
    </row>
    <row r="6" spans="1:6" x14ac:dyDescent="0.3">
      <c r="B6" s="27">
        <v>37349</v>
      </c>
      <c r="C6" s="27">
        <f ca="1">TODAY()</f>
        <v>46213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8864</v>
      </c>
    </row>
    <row r="7" spans="1:6" x14ac:dyDescent="0.3">
      <c r="B7" s="27">
        <v>39210</v>
      </c>
      <c r="C7" s="27">
        <f ca="1">TODAY()</f>
        <v>46213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7003</v>
      </c>
    </row>
    <row r="8" spans="1:6" x14ac:dyDescent="0.3">
      <c r="B8" s="27">
        <v>38142</v>
      </c>
      <c r="C8" s="27">
        <f ca="1">TODAY()</f>
        <v>46213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8071</v>
      </c>
    </row>
    <row r="10" spans="1:6" x14ac:dyDescent="0.3">
      <c r="B10" t="s">
        <v>980</v>
      </c>
      <c r="C10" t="s">
        <v>623</v>
      </c>
      <c r="D10" t="s">
        <v>608</v>
      </c>
      <c r="E10" t="s">
        <v>607</v>
      </c>
      <c r="F10" t="s">
        <v>606</v>
      </c>
    </row>
    <row r="11" spans="1:6" x14ac:dyDescent="0.3">
      <c r="B11" s="30">
        <v>36161</v>
      </c>
      <c r="C11" s="30">
        <f ca="1">TODAY()</f>
        <v>46213</v>
      </c>
      <c r="D11">
        <f ca="1">DATEDIF(B11,C11,"y")</f>
        <v>27</v>
      </c>
      <c r="E11">
        <f ca="1">DATEDIF(B11,C11,"m")</f>
        <v>330</v>
      </c>
      <c r="F11">
        <f ca="1">DATEDIF(B11,C11,"d")</f>
        <v>10052</v>
      </c>
    </row>
    <row r="12" spans="1:6" x14ac:dyDescent="0.3">
      <c r="B12" s="30">
        <v>38263</v>
      </c>
      <c r="C12" s="30">
        <f t="shared" ref="C12:C13" ca="1" si="0">TODAY()</f>
        <v>46213</v>
      </c>
      <c r="D12">
        <f t="shared" ref="D12:D13" ca="1" si="1">DATEDIF(B12,C12,"y")</f>
        <v>21</v>
      </c>
      <c r="E12">
        <f t="shared" ref="E12:E13" ca="1" si="2">DATEDIF(B12,C12,"m")</f>
        <v>261</v>
      </c>
      <c r="F12">
        <f t="shared" ref="F12:F13" ca="1" si="3">DATEDIF(B12,C12,"d")</f>
        <v>7950</v>
      </c>
    </row>
    <row r="13" spans="1:6" x14ac:dyDescent="0.3">
      <c r="B13" s="30">
        <v>43883</v>
      </c>
      <c r="C13" s="30">
        <f t="shared" ca="1" si="0"/>
        <v>46213</v>
      </c>
      <c r="D13">
        <f t="shared" ca="1" si="1"/>
        <v>6</v>
      </c>
      <c r="E13">
        <f t="shared" ca="1" si="2"/>
        <v>76</v>
      </c>
      <c r="F13">
        <f t="shared" ca="1" si="3"/>
        <v>2330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627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628</v>
      </c>
      <c r="D3" s="3" t="s">
        <v>612</v>
      </c>
      <c r="G3" s="42" t="s">
        <v>629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630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631</v>
      </c>
      <c r="D3" s="3" t="s">
        <v>612</v>
      </c>
      <c r="G3" s="42" t="s">
        <v>629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632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633</v>
      </c>
      <c r="D3" s="3" t="s">
        <v>634</v>
      </c>
      <c r="G3" s="3" t="s">
        <v>629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635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633</v>
      </c>
      <c r="D3" s="3" t="s">
        <v>612</v>
      </c>
      <c r="G3" s="3" t="s">
        <v>629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>
        <f t="shared" ref="D5:D8" si="0">NETWORKDAYS.INTL(B5,C5,11,$G$4:$G$7)</f>
        <v>-15</v>
      </c>
      <c r="G5" s="27">
        <v>45519</v>
      </c>
    </row>
    <row r="6" spans="1:7" x14ac:dyDescent="0.3">
      <c r="B6" s="27">
        <v>45385</v>
      </c>
      <c r="C6" s="27">
        <v>45394</v>
      </c>
      <c r="D6" s="4">
        <f t="shared" si="0"/>
        <v>9</v>
      </c>
      <c r="G6" s="27">
        <v>45932</v>
      </c>
    </row>
    <row r="7" spans="1:7" x14ac:dyDescent="0.3">
      <c r="B7" s="27">
        <v>45354</v>
      </c>
      <c r="C7" s="27">
        <v>45337</v>
      </c>
      <c r="D7" s="4">
        <f t="shared" si="0"/>
        <v>-15</v>
      </c>
      <c r="G7" s="4"/>
    </row>
    <row r="8" spans="1:7" x14ac:dyDescent="0.3">
      <c r="B8" s="27">
        <v>45354</v>
      </c>
      <c r="C8" s="27">
        <v>45339</v>
      </c>
      <c r="D8" s="4">
        <f t="shared" si="0"/>
        <v>-13</v>
      </c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G17" sqref="G17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636</v>
      </c>
    </row>
    <row r="2" spans="1:10" x14ac:dyDescent="0.3">
      <c r="A2" s="37" t="s">
        <v>2</v>
      </c>
    </row>
    <row r="3" spans="1:10" x14ac:dyDescent="0.3">
      <c r="B3" s="42" t="s">
        <v>637</v>
      </c>
      <c r="C3" s="3" t="s">
        <v>638</v>
      </c>
      <c r="D3" s="3" t="s">
        <v>639</v>
      </c>
      <c r="F3" s="42" t="s">
        <v>637</v>
      </c>
      <c r="G3" s="3" t="s">
        <v>638</v>
      </c>
      <c r="H3" s="3" t="s">
        <v>640</v>
      </c>
      <c r="J3" s="38"/>
    </row>
    <row r="4" spans="1:10" x14ac:dyDescent="0.3">
      <c r="B4" s="39" t="s">
        <v>641</v>
      </c>
      <c r="C4" s="43">
        <v>34</v>
      </c>
      <c r="D4" s="4" t="str">
        <f>IF(C4&gt;=40,"Pass","Fail")</f>
        <v>Fail</v>
      </c>
      <c r="F4" s="39" t="s">
        <v>641</v>
      </c>
      <c r="G4" s="43">
        <v>34</v>
      </c>
      <c r="H4" s="4">
        <f>IF(G4&lt;40,G4+5,G4)</f>
        <v>39</v>
      </c>
    </row>
    <row r="5" spans="1:10" x14ac:dyDescent="0.3">
      <c r="B5" s="39" t="s">
        <v>642</v>
      </c>
      <c r="C5" s="43">
        <v>54</v>
      </c>
      <c r="D5" s="4" t="str">
        <f>IF(C5&gt;=40,"Pass","Fail")</f>
        <v>Pass</v>
      </c>
      <c r="F5" s="39" t="s">
        <v>642</v>
      </c>
      <c r="G5" s="43">
        <v>54</v>
      </c>
      <c r="H5" s="4">
        <f>IF(G5&lt;40,G5+5,G5)</f>
        <v>54</v>
      </c>
    </row>
    <row r="6" spans="1:10" x14ac:dyDescent="0.3">
      <c r="B6" s="39" t="s">
        <v>643</v>
      </c>
      <c r="C6" s="43">
        <v>33</v>
      </c>
      <c r="D6" s="4" t="str">
        <f>IF(C6&gt;=40,"Pass","Fail")</f>
        <v>Fail</v>
      </c>
      <c r="F6" s="39" t="s">
        <v>643</v>
      </c>
      <c r="G6" s="43">
        <v>87</v>
      </c>
      <c r="H6" s="4">
        <f>IF(G6&lt;40,G6+5,G6)</f>
        <v>87</v>
      </c>
    </row>
    <row r="7" spans="1:10" x14ac:dyDescent="0.3">
      <c r="B7" s="39" t="s">
        <v>644</v>
      </c>
      <c r="C7" s="43">
        <v>55</v>
      </c>
      <c r="D7" s="4" t="str">
        <f>IF(C7&gt;=40,"Pass","Fail")</f>
        <v>Pass</v>
      </c>
      <c r="F7" s="39" t="s">
        <v>644</v>
      </c>
      <c r="G7" s="43">
        <v>55</v>
      </c>
      <c r="H7" s="4">
        <f>IF(G7&lt;40,G7+5,G7)</f>
        <v>55</v>
      </c>
    </row>
    <row r="8" spans="1:10" x14ac:dyDescent="0.3">
      <c r="B8" s="39" t="s">
        <v>645</v>
      </c>
      <c r="C8" s="43">
        <v>13</v>
      </c>
      <c r="D8" s="4" t="str">
        <f>IF(C8&gt;=40,"Pass","Fail")</f>
        <v>Fail</v>
      </c>
      <c r="F8" s="56" t="s">
        <v>645</v>
      </c>
      <c r="G8" s="43">
        <v>13</v>
      </c>
      <c r="H8" s="4">
        <f>IF(G8&lt;40,G8+5,G8)</f>
        <v>18</v>
      </c>
    </row>
    <row r="10" spans="1:10" x14ac:dyDescent="0.3">
      <c r="B10" s="42" t="s">
        <v>637</v>
      </c>
      <c r="C10" s="3" t="s">
        <v>638</v>
      </c>
      <c r="D10" s="3" t="s">
        <v>646</v>
      </c>
      <c r="F10" s="42" t="s">
        <v>637</v>
      </c>
      <c r="G10" s="3" t="s">
        <v>638</v>
      </c>
      <c r="H10" s="3" t="s">
        <v>647</v>
      </c>
    </row>
    <row r="11" spans="1:10" x14ac:dyDescent="0.3">
      <c r="B11" s="39" t="s">
        <v>641</v>
      </c>
      <c r="C11" s="43">
        <v>56</v>
      </c>
      <c r="D11" s="4" t="str">
        <f>IF(C11&lt;40,B11,"")</f>
        <v/>
      </c>
      <c r="F11" s="39" t="s">
        <v>641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642</v>
      </c>
      <c r="C12" s="43">
        <v>12</v>
      </c>
      <c r="D12" s="4" t="str">
        <f>IF(C12&lt;40,B12,"")</f>
        <v>Ritesh S.</v>
      </c>
      <c r="F12" s="39" t="s">
        <v>642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643</v>
      </c>
      <c r="C13" s="43">
        <v>13</v>
      </c>
      <c r="D13" s="4" t="str">
        <f>IF(C13&lt;40,B13,"")</f>
        <v>Naveen Yadav</v>
      </c>
      <c r="F13" s="39" t="s">
        <v>643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644</v>
      </c>
      <c r="C14" s="43">
        <v>44</v>
      </c>
      <c r="D14" s="4" t="str">
        <f>IF(C14&lt;40,B14,"")</f>
        <v/>
      </c>
      <c r="F14" s="39" t="s">
        <v>644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637</v>
      </c>
      <c r="C16" s="3" t="s">
        <v>648</v>
      </c>
      <c r="D16" s="146" t="s">
        <v>649</v>
      </c>
      <c r="E16" s="146"/>
      <c r="F16" s="146"/>
    </row>
    <row r="17" spans="2:6" x14ac:dyDescent="0.3">
      <c r="B17" s="27" t="s">
        <v>650</v>
      </c>
      <c r="C17" s="4" t="s">
        <v>651</v>
      </c>
      <c r="D17" s="145" t="str">
        <f>IF(C17="male","Mr. "&amp;B17,"Mis "&amp;B17)</f>
        <v>Mr. Raj Kumar</v>
      </c>
      <c r="E17" s="145"/>
      <c r="F17" s="145"/>
    </row>
    <row r="18" spans="2:6" x14ac:dyDescent="0.3">
      <c r="B18" s="27" t="s">
        <v>500</v>
      </c>
      <c r="C18" s="4" t="s">
        <v>652</v>
      </c>
      <c r="D18" s="145" t="str">
        <f>IF(C18="male","Mr. "&amp;B18,"Ms."&amp;B18)</f>
        <v>Ms.Tejal</v>
      </c>
      <c r="E18" s="145"/>
      <c r="F18" s="145"/>
    </row>
    <row r="19" spans="2:6" x14ac:dyDescent="0.3">
      <c r="B19" s="27" t="s">
        <v>653</v>
      </c>
      <c r="C19" s="4" t="s">
        <v>651</v>
      </c>
      <c r="D19" s="145" t="str">
        <f t="shared" ref="D19:D20" si="0">IF(C19="male","Mr. "&amp;B19,"Ms."&amp;B19)</f>
        <v>Mr. Anil Kumar</v>
      </c>
      <c r="E19" s="145"/>
      <c r="F19" s="145"/>
    </row>
    <row r="20" spans="2:6" x14ac:dyDescent="0.3">
      <c r="B20" s="27" t="s">
        <v>654</v>
      </c>
      <c r="C20" s="4" t="s">
        <v>652</v>
      </c>
      <c r="D20" s="145" t="str">
        <f t="shared" si="0"/>
        <v>Ms.Reena</v>
      </c>
      <c r="E20" s="145"/>
      <c r="F20" s="145"/>
    </row>
    <row r="21" spans="2:6" x14ac:dyDescent="0.3">
      <c r="B21" s="27" t="s">
        <v>545</v>
      </c>
      <c r="C21" s="4" t="s">
        <v>651</v>
      </c>
      <c r="D21" s="145" t="str">
        <f>IF(C21="male","Mr. "&amp;B21,"Mis "&amp;B21)</f>
        <v>Mr. Deepak</v>
      </c>
      <c r="E21" s="145"/>
      <c r="F21" s="145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L26"/>
  <sheetViews>
    <sheetView zoomScale="130" zoomScaleNormal="130" workbookViewId="0">
      <pane ySplit="1" topLeftCell="A14" activePane="bottomLeft" state="frozen"/>
      <selection pane="bottomLeft" activeCell="L19" sqref="L19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12" s="2" customFormat="1" ht="32.65" customHeight="1" thickBot="1" x14ac:dyDescent="0.35">
      <c r="A1" s="36">
        <v>60</v>
      </c>
      <c r="B1" s="1" t="s">
        <v>655</v>
      </c>
    </row>
    <row r="2" spans="1:12" x14ac:dyDescent="0.3">
      <c r="A2" s="37" t="s">
        <v>2</v>
      </c>
    </row>
    <row r="3" spans="1:12" x14ac:dyDescent="0.3">
      <c r="B3" s="42" t="s">
        <v>637</v>
      </c>
      <c r="C3" s="3" t="s">
        <v>193</v>
      </c>
      <c r="D3" s="3" t="s">
        <v>194</v>
      </c>
      <c r="E3" s="3" t="s">
        <v>195</v>
      </c>
      <c r="F3" s="3" t="s">
        <v>639</v>
      </c>
    </row>
    <row r="4" spans="1:12" x14ac:dyDescent="0.3">
      <c r="B4" s="39" t="s">
        <v>656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12" x14ac:dyDescent="0.3">
      <c r="B5" s="39" t="s">
        <v>657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12" x14ac:dyDescent="0.3">
      <c r="B6" s="39" t="s">
        <v>658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12" x14ac:dyDescent="0.3">
      <c r="B7" s="39" t="s">
        <v>659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12" x14ac:dyDescent="0.3">
      <c r="B8" s="39" t="s">
        <v>660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12" x14ac:dyDescent="0.3">
      <c r="B10" s="30" t="s">
        <v>661</v>
      </c>
    </row>
    <row r="14" spans="1:12" x14ac:dyDescent="0.3">
      <c r="A14" s="37" t="s">
        <v>2</v>
      </c>
    </row>
    <row r="16" spans="1:12" x14ac:dyDescent="0.3">
      <c r="B16" s="3" t="s">
        <v>662</v>
      </c>
      <c r="C16" s="3" t="s">
        <v>663</v>
      </c>
      <c r="D16" s="3" t="s">
        <v>84</v>
      </c>
      <c r="E16" s="3" t="s">
        <v>664</v>
      </c>
      <c r="F16" s="3" t="s">
        <v>665</v>
      </c>
      <c r="H16" s="3" t="s">
        <v>662</v>
      </c>
      <c r="I16" s="3" t="s">
        <v>663</v>
      </c>
      <c r="J16" s="3" t="s">
        <v>84</v>
      </c>
      <c r="K16" s="156" t="s">
        <v>664</v>
      </c>
      <c r="L16" s="156" t="s">
        <v>665</v>
      </c>
    </row>
    <row r="17" spans="2:12" x14ac:dyDescent="0.3">
      <c r="B17" s="27" t="s">
        <v>650</v>
      </c>
      <c r="C17" s="4" t="s">
        <v>666</v>
      </c>
      <c r="D17" s="4" t="s">
        <v>90</v>
      </c>
      <c r="E17" s="4">
        <v>10000</v>
      </c>
      <c r="F17" s="4" t="str">
        <f>IF(AND(C17="it",E17&gt;20000),1000,"")</f>
        <v/>
      </c>
      <c r="H17" s="27" t="s">
        <v>650</v>
      </c>
      <c r="I17" s="4" t="s">
        <v>666</v>
      </c>
      <c r="J17" s="4" t="s">
        <v>90</v>
      </c>
      <c r="K17">
        <v>25000</v>
      </c>
      <c r="L17">
        <f>IF(AND(I17="IT",K17&gt;20000),1000,"")</f>
        <v>1000</v>
      </c>
    </row>
    <row r="18" spans="2:12" x14ac:dyDescent="0.3">
      <c r="B18" s="27" t="s">
        <v>667</v>
      </c>
      <c r="C18" s="4" t="s">
        <v>668</v>
      </c>
      <c r="D18" s="4" t="s">
        <v>92</v>
      </c>
      <c r="E18" s="4">
        <v>15000</v>
      </c>
      <c r="F18" s="4" t="str">
        <f t="shared" ref="F18:F24" si="0">IF(AND(C18="it",E18&gt;20000),1000,"")</f>
        <v/>
      </c>
      <c r="H18" s="27" t="s">
        <v>667</v>
      </c>
      <c r="I18" s="4" t="s">
        <v>668</v>
      </c>
      <c r="J18" s="4" t="s">
        <v>92</v>
      </c>
      <c r="K18">
        <v>15000</v>
      </c>
      <c r="L18" t="str">
        <f>IF(AND(I18="IT",K18&gt;20000),1000,"")</f>
        <v/>
      </c>
    </row>
    <row r="19" spans="2:12" x14ac:dyDescent="0.3">
      <c r="B19" s="27" t="s">
        <v>653</v>
      </c>
      <c r="C19" s="4" t="s">
        <v>666</v>
      </c>
      <c r="D19" s="4" t="s">
        <v>90</v>
      </c>
      <c r="E19" s="4">
        <v>22000</v>
      </c>
      <c r="F19" s="4">
        <f t="shared" si="0"/>
        <v>1000</v>
      </c>
    </row>
    <row r="20" spans="2:12" x14ac:dyDescent="0.3">
      <c r="B20" s="27" t="s">
        <v>408</v>
      </c>
      <c r="C20" s="4" t="s">
        <v>666</v>
      </c>
      <c r="D20" s="4" t="s">
        <v>94</v>
      </c>
      <c r="E20" s="4">
        <v>5000</v>
      </c>
      <c r="F20" s="4" t="str">
        <f t="shared" si="0"/>
        <v/>
      </c>
    </row>
    <row r="21" spans="2:12" x14ac:dyDescent="0.3">
      <c r="B21" s="27" t="s">
        <v>545</v>
      </c>
      <c r="C21" s="4" t="s">
        <v>669</v>
      </c>
      <c r="D21" s="4" t="s">
        <v>117</v>
      </c>
      <c r="E21" s="4">
        <v>11000</v>
      </c>
      <c r="F21" s="4" t="str">
        <f t="shared" si="0"/>
        <v/>
      </c>
    </row>
    <row r="22" spans="2:12" x14ac:dyDescent="0.3">
      <c r="B22" s="27" t="s">
        <v>408</v>
      </c>
      <c r="C22" s="4" t="s">
        <v>669</v>
      </c>
      <c r="D22" s="4" t="s">
        <v>94</v>
      </c>
      <c r="E22" s="4">
        <v>7000</v>
      </c>
      <c r="F22" s="4" t="str">
        <f t="shared" si="0"/>
        <v/>
      </c>
    </row>
    <row r="23" spans="2:12" x14ac:dyDescent="0.3">
      <c r="B23" s="27" t="s">
        <v>545</v>
      </c>
      <c r="C23" s="4" t="s">
        <v>666</v>
      </c>
      <c r="D23" s="4" t="s">
        <v>94</v>
      </c>
      <c r="E23" s="4">
        <v>25000</v>
      </c>
      <c r="F23" s="4">
        <f t="shared" si="0"/>
        <v>1000</v>
      </c>
    </row>
    <row r="24" spans="2:12" x14ac:dyDescent="0.3">
      <c r="B24" s="27" t="s">
        <v>408</v>
      </c>
      <c r="C24" s="4" t="s">
        <v>666</v>
      </c>
      <c r="D24" s="4" t="s">
        <v>90</v>
      </c>
      <c r="E24" s="4">
        <v>16000</v>
      </c>
      <c r="F24" s="4" t="str">
        <f t="shared" si="0"/>
        <v/>
      </c>
    </row>
    <row r="26" spans="2:12" x14ac:dyDescent="0.3">
      <c r="B26" s="30" t="s">
        <v>670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C22" sqref="C22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671</v>
      </c>
    </row>
    <row r="2" spans="1:7" x14ac:dyDescent="0.3">
      <c r="A2" s="37" t="s">
        <v>2</v>
      </c>
    </row>
    <row r="3" spans="1:7" x14ac:dyDescent="0.3">
      <c r="B3" s="40" t="s">
        <v>637</v>
      </c>
      <c r="C3" s="3" t="s">
        <v>672</v>
      </c>
      <c r="D3" s="3" t="s">
        <v>673</v>
      </c>
    </row>
    <row r="4" spans="1:7" x14ac:dyDescent="0.3">
      <c r="B4" s="39" t="s">
        <v>674</v>
      </c>
      <c r="C4" s="4" t="s">
        <v>675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676</v>
      </c>
      <c r="C5" s="4" t="s">
        <v>677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678</v>
      </c>
      <c r="C6" s="4" t="s">
        <v>679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680</v>
      </c>
      <c r="C7" s="4" t="s">
        <v>675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681</v>
      </c>
      <c r="C8" s="4" t="s">
        <v>677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682</v>
      </c>
    </row>
    <row r="11" spans="1:7" x14ac:dyDescent="0.3">
      <c r="A11" s="37" t="s">
        <v>2</v>
      </c>
    </row>
    <row r="16" spans="1:7" x14ac:dyDescent="0.3">
      <c r="B16" s="3" t="s">
        <v>637</v>
      </c>
      <c r="C16" s="3" t="s">
        <v>683</v>
      </c>
      <c r="D16" s="3" t="s">
        <v>639</v>
      </c>
      <c r="G16" s="38"/>
    </row>
    <row r="17" spans="2:4" x14ac:dyDescent="0.3">
      <c r="B17" s="39" t="s">
        <v>684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685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686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687</v>
      </c>
      <c r="C20" s="4" t="s">
        <v>207</v>
      </c>
      <c r="D20" s="4" t="str">
        <f t="shared" si="0"/>
        <v>fail</v>
      </c>
    </row>
    <row r="21" spans="2:4" x14ac:dyDescent="0.3">
      <c r="B21" s="39" t="s">
        <v>688</v>
      </c>
      <c r="C21" s="33">
        <v>0.77</v>
      </c>
      <c r="D21" s="4" t="str">
        <f t="shared" si="0"/>
        <v>pass</v>
      </c>
    </row>
    <row r="22" spans="2:4" x14ac:dyDescent="0.3">
      <c r="B22" s="39" t="s">
        <v>687</v>
      </c>
      <c r="C22" s="4" t="s">
        <v>207</v>
      </c>
      <c r="D22" s="4" t="str">
        <f t="shared" si="0"/>
        <v>fail</v>
      </c>
    </row>
    <row r="23" spans="2:4" x14ac:dyDescent="0.3">
      <c r="B23" s="39" t="s">
        <v>689</v>
      </c>
      <c r="C23" s="33">
        <v>0.98</v>
      </c>
      <c r="D23" s="4" t="str">
        <f t="shared" si="0"/>
        <v>pass</v>
      </c>
    </row>
    <row r="24" spans="2:4" x14ac:dyDescent="0.3">
      <c r="B24" s="39" t="s">
        <v>687</v>
      </c>
      <c r="C24" s="33">
        <v>0.33</v>
      </c>
      <c r="D24" s="4" t="str">
        <f t="shared" si="0"/>
        <v>fail</v>
      </c>
    </row>
    <row r="26" spans="2:4" x14ac:dyDescent="0.3">
      <c r="B26" s="30" t="s">
        <v>690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F17" sqref="F17:F21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691</v>
      </c>
    </row>
    <row r="2" spans="1:8" x14ac:dyDescent="0.3">
      <c r="A2" s="37" t="s">
        <v>2</v>
      </c>
    </row>
    <row r="3" spans="1:8" x14ac:dyDescent="0.3">
      <c r="B3" s="3" t="s">
        <v>637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692</v>
      </c>
    </row>
    <row r="4" spans="1:8" x14ac:dyDescent="0.3">
      <c r="B4" s="39" t="s">
        <v>693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694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695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696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697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698</v>
      </c>
    </row>
    <row r="11" spans="1:8" x14ac:dyDescent="0.3">
      <c r="B11" s="30" t="s">
        <v>699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700</v>
      </c>
    </row>
    <row r="13" spans="1:8" x14ac:dyDescent="0.3">
      <c r="B13" s="30" t="s">
        <v>701</v>
      </c>
    </row>
    <row r="14" spans="1:8" x14ac:dyDescent="0.3">
      <c r="B14" s="30" t="s">
        <v>702</v>
      </c>
    </row>
    <row r="15" spans="1:8" x14ac:dyDescent="0.3">
      <c r="A15" s="37" t="s">
        <v>2</v>
      </c>
    </row>
    <row r="16" spans="1:8" x14ac:dyDescent="0.3">
      <c r="B16" s="40" t="s">
        <v>703</v>
      </c>
      <c r="C16" s="40" t="s">
        <v>704</v>
      </c>
      <c r="D16" s="3" t="s">
        <v>673</v>
      </c>
    </row>
    <row r="17" spans="2:6" x14ac:dyDescent="0.3">
      <c r="B17" s="39" t="s">
        <v>705</v>
      </c>
      <c r="C17" s="39">
        <v>120</v>
      </c>
      <c r="D17" s="4" t="str">
        <f t="array" ref="D17">_xlfn.IFS(C17&gt;=80,"fast",C17&gt;=50,"normal",C17&lt;50,"slow")</f>
        <v>fast</v>
      </c>
      <c r="F17" t="str" cm="1">
        <f t="array" ref="F17">_xlfn.IFS(C17&gt;=80,"Fast",C17&gt;=50,"Normal",C17&lt;50,"Slow")</f>
        <v>Fast</v>
      </c>
    </row>
    <row r="18" spans="2:6" x14ac:dyDescent="0.3">
      <c r="B18" s="39" t="s">
        <v>706</v>
      </c>
      <c r="C18" s="39">
        <v>85</v>
      </c>
      <c r="D18" s="4" t="str">
        <f t="array" ref="D18">_xlfn.IFS(C18&gt;=80,"fast",C18&gt;=50,"normal",C18&lt;50,"slow")</f>
        <v>fast</v>
      </c>
      <c r="F18" t="str" cm="1">
        <f t="array" ref="F18">_xlfn.IFS(C18&gt;=80,"Fast",C18&gt;=50,"Normal",C18&lt;50,"Slow")</f>
        <v>Fast</v>
      </c>
    </row>
    <row r="19" spans="2:6" x14ac:dyDescent="0.3">
      <c r="B19" s="39" t="s">
        <v>707</v>
      </c>
      <c r="C19" s="39">
        <v>66</v>
      </c>
      <c r="D19" s="4" t="str">
        <f t="array" ref="D19">_xlfn.IFS(C19&gt;=80,"fast",C19&gt;=50,"normal",C19&lt;50,"slow")</f>
        <v>normal</v>
      </c>
      <c r="F19" t="str" cm="1">
        <f t="array" ref="F19">_xlfn.IFS(C19&gt;=80,"Fast",C19&gt;=50,"Normal",C19&lt;50,"Slow")</f>
        <v>Normal</v>
      </c>
    </row>
    <row r="20" spans="2:6" x14ac:dyDescent="0.3">
      <c r="B20" s="39" t="s">
        <v>708</v>
      </c>
      <c r="C20" s="39">
        <v>95</v>
      </c>
      <c r="D20" s="4" t="str">
        <f t="array" ref="D20">_xlfn.IFS(C20&gt;=80,"fast",C20&gt;=50,"normal",C20&lt;50,"slow")</f>
        <v>fast</v>
      </c>
      <c r="F20" t="str" cm="1">
        <f t="array" ref="F20">_xlfn.IFS(C20&gt;=80,"Fast",C20&gt;=50,"Normal",C20&lt;50,"Slow")</f>
        <v>Fast</v>
      </c>
    </row>
    <row r="21" spans="2:6" x14ac:dyDescent="0.3">
      <c r="B21" s="39" t="s">
        <v>709</v>
      </c>
      <c r="C21" s="39">
        <v>35</v>
      </c>
      <c r="D21" s="4" t="str">
        <f t="array" ref="D21">_xlfn.IFS(C21&gt;=80,"fast",C21&gt;=50,"normal",C21&lt;50,"slow")</f>
        <v>slow</v>
      </c>
      <c r="F21" t="str" cm="1">
        <f t="array" ref="F21">_xlfn.IFS(C21&gt;=80,"Fast",C21&gt;=50,"Normal",C21&lt;50,"Slow")</f>
        <v>Slow</v>
      </c>
    </row>
    <row r="23" spans="2:6" x14ac:dyDescent="0.3">
      <c r="B23" s="30" t="s">
        <v>710</v>
      </c>
    </row>
    <row r="24" spans="2:6" x14ac:dyDescent="0.3">
      <c r="B24" s="30" t="s">
        <v>711</v>
      </c>
    </row>
    <row r="25" spans="2:6" x14ac:dyDescent="0.3">
      <c r="B25" s="30" t="s">
        <v>712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8" activePane="bottomLeft" state="frozen"/>
      <selection pane="bottomLeft" activeCell="K20" sqref="K20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5.39843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713</v>
      </c>
    </row>
    <row r="2" spans="1:10" x14ac:dyDescent="0.3">
      <c r="A2" s="37" t="s">
        <v>2</v>
      </c>
    </row>
    <row r="3" spans="1:10" x14ac:dyDescent="0.3">
      <c r="B3" s="3" t="s">
        <v>714</v>
      </c>
      <c r="C3" s="3" t="s">
        <v>595</v>
      </c>
      <c r="D3" s="3" t="s">
        <v>252</v>
      </c>
      <c r="E3" s="3" t="s">
        <v>663</v>
      </c>
      <c r="F3" s="3" t="s">
        <v>715</v>
      </c>
      <c r="H3" s="3" t="s">
        <v>714</v>
      </c>
      <c r="I3" s="3" t="s">
        <v>715</v>
      </c>
    </row>
    <row r="4" spans="1:10" x14ac:dyDescent="0.3">
      <c r="B4" s="4">
        <v>100</v>
      </c>
      <c r="C4" s="27" t="s">
        <v>650</v>
      </c>
      <c r="D4" s="4">
        <v>45000</v>
      </c>
      <c r="E4" s="4" t="s">
        <v>669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667</v>
      </c>
      <c r="D5" s="4">
        <v>50000</v>
      </c>
      <c r="E5" s="4" t="s">
        <v>666</v>
      </c>
      <c r="F5" s="27">
        <v>45447</v>
      </c>
    </row>
    <row r="6" spans="1:10" x14ac:dyDescent="0.3">
      <c r="B6" s="4">
        <v>102</v>
      </c>
      <c r="C6" s="27" t="s">
        <v>653</v>
      </c>
      <c r="D6" s="4">
        <v>17000</v>
      </c>
      <c r="E6" s="4" t="s">
        <v>668</v>
      </c>
      <c r="F6" s="27">
        <v>44793</v>
      </c>
      <c r="H6" s="3" t="s">
        <v>714</v>
      </c>
      <c r="I6" s="3" t="s">
        <v>252</v>
      </c>
    </row>
    <row r="7" spans="1:10" x14ac:dyDescent="0.3">
      <c r="B7" s="4">
        <v>103</v>
      </c>
      <c r="C7" s="27" t="s">
        <v>408</v>
      </c>
      <c r="D7" s="4">
        <v>25000</v>
      </c>
      <c r="E7" s="4" t="s">
        <v>669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">
      <c r="B9" s="4">
        <v>105</v>
      </c>
      <c r="C9" s="27" t="s">
        <v>716</v>
      </c>
      <c r="D9" s="4">
        <v>23000</v>
      </c>
      <c r="E9" s="4" t="s">
        <v>371</v>
      </c>
      <c r="F9" s="27">
        <v>44600</v>
      </c>
    </row>
    <row r="10" spans="1:10" x14ac:dyDescent="0.3">
      <c r="B10" s="30"/>
    </row>
    <row r="11" spans="1:10" x14ac:dyDescent="0.3">
      <c r="B11" s="3" t="s">
        <v>714</v>
      </c>
      <c r="C11" s="3" t="s">
        <v>595</v>
      </c>
      <c r="D11" s="3" t="s">
        <v>252</v>
      </c>
      <c r="E11" s="3" t="s">
        <v>663</v>
      </c>
      <c r="F11" s="3" t="s">
        <v>715</v>
      </c>
      <c r="H11" s="3" t="s">
        <v>714</v>
      </c>
      <c r="I11" s="3" t="s">
        <v>252</v>
      </c>
      <c r="J11" s="3" t="s">
        <v>715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717</v>
      </c>
      <c r="C16" s="40" t="s">
        <v>595</v>
      </c>
      <c r="D16" s="3" t="s">
        <v>718</v>
      </c>
      <c r="E16" s="3" t="s">
        <v>719</v>
      </c>
      <c r="F16" s="3" t="s">
        <v>128</v>
      </c>
      <c r="H16" s="3" t="s">
        <v>718</v>
      </c>
      <c r="I16" s="3" t="s">
        <v>128</v>
      </c>
      <c r="J16" s="38"/>
    </row>
    <row r="17" spans="2:9" x14ac:dyDescent="0.3">
      <c r="B17" s="4">
        <v>100</v>
      </c>
      <c r="C17" s="39" t="s">
        <v>720</v>
      </c>
      <c r="D17" s="4" t="s">
        <v>721</v>
      </c>
      <c r="E17" s="4">
        <v>3</v>
      </c>
      <c r="F17" s="4">
        <v>1200</v>
      </c>
      <c r="H17" s="4" t="s">
        <v>722</v>
      </c>
      <c r="I17" s="4">
        <f>VLOOKUP(H17,D16:F22,3,0)</f>
        <v>6500</v>
      </c>
    </row>
    <row r="18" spans="2:9" x14ac:dyDescent="0.3">
      <c r="B18" s="4">
        <v>101</v>
      </c>
      <c r="C18" s="39" t="s">
        <v>723</v>
      </c>
      <c r="D18" s="4" t="s">
        <v>724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725</v>
      </c>
      <c r="D19" s="4" t="s">
        <v>726</v>
      </c>
      <c r="E19" s="4">
        <v>6</v>
      </c>
      <c r="F19" s="4">
        <v>230</v>
      </c>
      <c r="H19" s="3" t="s">
        <v>718</v>
      </c>
      <c r="I19" s="3" t="s">
        <v>595</v>
      </c>
    </row>
    <row r="20" spans="2:9" x14ac:dyDescent="0.3">
      <c r="B20" s="4">
        <v>103</v>
      </c>
      <c r="C20" s="39" t="s">
        <v>727</v>
      </c>
      <c r="D20" s="4" t="s">
        <v>722</v>
      </c>
      <c r="E20" s="4">
        <v>7</v>
      </c>
      <c r="F20" s="4">
        <v>6500</v>
      </c>
      <c r="H20" s="4" t="s">
        <v>722</v>
      </c>
      <c r="I20" s="4" t="str">
        <f>VLOOKUP(H20,C16:F22,1,TRUE)</f>
        <v>Mattress</v>
      </c>
    </row>
    <row r="21" spans="2:9" x14ac:dyDescent="0.3">
      <c r="B21" s="4">
        <v>104</v>
      </c>
      <c r="C21" s="39" t="s">
        <v>728</v>
      </c>
      <c r="D21" s="4" t="s">
        <v>729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730</v>
      </c>
      <c r="D22" s="4" t="s">
        <v>731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732</v>
      </c>
    </row>
    <row r="2" spans="1:11" x14ac:dyDescent="0.3">
      <c r="A2" s="37" t="s">
        <v>2</v>
      </c>
    </row>
    <row r="3" spans="1:11" x14ac:dyDescent="0.3">
      <c r="B3" s="12" t="s">
        <v>717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595</v>
      </c>
      <c r="C4" s="59" t="s">
        <v>733</v>
      </c>
      <c r="D4" s="39" t="s">
        <v>734</v>
      </c>
      <c r="E4" s="39" t="s">
        <v>735</v>
      </c>
      <c r="F4" s="39" t="s">
        <v>736</v>
      </c>
      <c r="G4" s="39" t="s">
        <v>737</v>
      </c>
      <c r="H4" s="39" t="s">
        <v>738</v>
      </c>
      <c r="K4" s="38"/>
    </row>
    <row r="5" spans="1:11" x14ac:dyDescent="0.3">
      <c r="B5" s="12" t="s">
        <v>718</v>
      </c>
      <c r="C5" s="34" t="s">
        <v>721</v>
      </c>
      <c r="D5" s="34" t="s">
        <v>724</v>
      </c>
      <c r="E5" s="34" t="s">
        <v>726</v>
      </c>
      <c r="F5" s="34" t="s">
        <v>722</v>
      </c>
      <c r="G5" s="34" t="s">
        <v>729</v>
      </c>
      <c r="H5" s="34" t="s">
        <v>731</v>
      </c>
    </row>
    <row r="6" spans="1:11" x14ac:dyDescent="0.3">
      <c r="B6" s="12" t="s">
        <v>719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717</v>
      </c>
      <c r="C9" s="22">
        <v>104</v>
      </c>
      <c r="E9" s="12" t="s">
        <v>717</v>
      </c>
      <c r="F9" s="22">
        <v>102</v>
      </c>
      <c r="I9" s="12" t="s">
        <v>718</v>
      </c>
      <c r="J9" s="34" t="s">
        <v>724</v>
      </c>
    </row>
    <row r="10" spans="1:11" x14ac:dyDescent="0.3">
      <c r="B10" s="12" t="s">
        <v>128</v>
      </c>
      <c r="C10" s="4">
        <f>HLOOKUP(C9,B3:H7,5,0)</f>
        <v>45000</v>
      </c>
      <c r="E10" s="12" t="s">
        <v>595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718</v>
      </c>
      <c r="F11" s="4" t="str">
        <f>HLOOKUP($F$9,$B$3:$H$7,ROWS($D$9:D11),0)</f>
        <v>P002</v>
      </c>
    </row>
    <row r="12" spans="1:11" x14ac:dyDescent="0.3">
      <c r="B12" s="12" t="s">
        <v>717</v>
      </c>
      <c r="C12" s="22">
        <v>104</v>
      </c>
      <c r="E12" s="12" t="s">
        <v>719</v>
      </c>
      <c r="F12" s="4">
        <f>HLOOKUP($F$9,$B$3:$H$7,ROWS($D$9:D12),0)</f>
        <v>6</v>
      </c>
    </row>
    <row r="13" spans="1:11" x14ac:dyDescent="0.3">
      <c r="B13" s="12" t="s">
        <v>718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E17" sqref="E17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739</v>
      </c>
    </row>
    <row r="2" spans="1:9" x14ac:dyDescent="0.3">
      <c r="A2" s="37" t="s">
        <v>2</v>
      </c>
    </row>
    <row r="3" spans="1:9" x14ac:dyDescent="0.3">
      <c r="B3" s="3" t="s">
        <v>714</v>
      </c>
      <c r="C3" s="3" t="s">
        <v>595</v>
      </c>
      <c r="D3" s="3" t="s">
        <v>252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">
      <c r="B4" s="4">
        <v>100</v>
      </c>
      <c r="C4" s="51" t="s">
        <v>741</v>
      </c>
      <c r="D4" s="4">
        <v>45000</v>
      </c>
      <c r="E4" s="4" t="s">
        <v>669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742</v>
      </c>
      <c r="D5" s="4">
        <v>50000</v>
      </c>
      <c r="E5" s="4" t="s">
        <v>666</v>
      </c>
      <c r="F5" s="27">
        <v>45447</v>
      </c>
      <c r="H5" s="49"/>
    </row>
    <row r="6" spans="1:9" x14ac:dyDescent="0.3">
      <c r="B6" s="4">
        <v>102</v>
      </c>
      <c r="C6" s="51" t="s">
        <v>743</v>
      </c>
      <c r="D6" s="4">
        <v>17000</v>
      </c>
      <c r="E6" s="4" t="s">
        <v>668</v>
      </c>
      <c r="F6" s="27">
        <v>44793</v>
      </c>
      <c r="H6" s="50"/>
    </row>
    <row r="7" spans="1:9" x14ac:dyDescent="0.3">
      <c r="B7" s="4">
        <v>103</v>
      </c>
      <c r="C7" s="51" t="s">
        <v>744</v>
      </c>
      <c r="D7" s="4">
        <v>25000</v>
      </c>
      <c r="E7" s="4" t="s">
        <v>669</v>
      </c>
      <c r="F7" s="27">
        <v>43146</v>
      </c>
      <c r="H7" s="50"/>
    </row>
    <row r="8" spans="1:9" x14ac:dyDescent="0.3">
      <c r="B8" s="4">
        <v>104</v>
      </c>
      <c r="C8" s="51" t="s">
        <v>745</v>
      </c>
      <c r="D8" s="4">
        <v>40000</v>
      </c>
      <c r="E8" s="4" t="s">
        <v>371</v>
      </c>
      <c r="F8" s="27">
        <v>44599</v>
      </c>
      <c r="H8" s="50"/>
    </row>
    <row r="9" spans="1:9" x14ac:dyDescent="0.3">
      <c r="B9" s="4">
        <v>105</v>
      </c>
      <c r="C9" s="51" t="s">
        <v>746</v>
      </c>
      <c r="D9" s="4">
        <v>23000</v>
      </c>
      <c r="E9" s="4" t="s">
        <v>371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747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748</v>
      </c>
    </row>
    <row r="2" spans="1:9" x14ac:dyDescent="0.3">
      <c r="A2" s="37" t="s">
        <v>2</v>
      </c>
    </row>
    <row r="3" spans="1:9" x14ac:dyDescent="0.3">
      <c r="B3" s="3" t="s">
        <v>714</v>
      </c>
      <c r="C3" s="3" t="s">
        <v>595</v>
      </c>
      <c r="D3" s="3" t="s">
        <v>252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">
      <c r="B4" s="4">
        <v>100</v>
      </c>
      <c r="C4" s="51" t="s">
        <v>741</v>
      </c>
      <c r="D4" s="4">
        <v>45000</v>
      </c>
      <c r="E4" s="4" t="s">
        <v>669</v>
      </c>
      <c r="F4" s="27">
        <v>44927</v>
      </c>
      <c r="H4" s="4"/>
      <c r="I4" s="4"/>
    </row>
    <row r="5" spans="1:9" x14ac:dyDescent="0.3">
      <c r="B5" s="4">
        <v>101</v>
      </c>
      <c r="C5" s="51" t="s">
        <v>742</v>
      </c>
      <c r="D5" s="4">
        <v>50000</v>
      </c>
      <c r="E5" s="4" t="s">
        <v>666</v>
      </c>
      <c r="F5" s="27">
        <v>45447</v>
      </c>
    </row>
    <row r="6" spans="1:9" x14ac:dyDescent="0.3">
      <c r="B6" s="4">
        <v>102</v>
      </c>
      <c r="C6" s="51" t="s">
        <v>743</v>
      </c>
      <c r="D6" s="4">
        <v>17000</v>
      </c>
      <c r="E6" s="4" t="s">
        <v>668</v>
      </c>
      <c r="F6" s="27">
        <v>44793</v>
      </c>
    </row>
    <row r="7" spans="1:9" x14ac:dyDescent="0.3">
      <c r="B7" s="4">
        <v>103</v>
      </c>
      <c r="C7" s="51" t="s">
        <v>744</v>
      </c>
      <c r="D7" s="4">
        <v>25000</v>
      </c>
      <c r="E7" s="4" t="s">
        <v>669</v>
      </c>
      <c r="F7" s="27">
        <v>43146</v>
      </c>
    </row>
    <row r="8" spans="1:9" x14ac:dyDescent="0.3">
      <c r="B8" s="4">
        <v>104</v>
      </c>
      <c r="C8" s="51" t="s">
        <v>745</v>
      </c>
      <c r="D8" s="4">
        <v>40000</v>
      </c>
      <c r="E8" s="4" t="s">
        <v>371</v>
      </c>
      <c r="F8" s="27">
        <v>44599</v>
      </c>
    </row>
    <row r="9" spans="1:9" x14ac:dyDescent="0.3">
      <c r="B9" s="4">
        <v>105</v>
      </c>
      <c r="C9" s="51" t="s">
        <v>746</v>
      </c>
      <c r="D9" s="4">
        <v>23000</v>
      </c>
      <c r="E9" s="4" t="s">
        <v>371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749</v>
      </c>
    </row>
    <row r="2" spans="1:9" ht="16.5" customHeight="1" x14ac:dyDescent="0.3">
      <c r="A2" s="37" t="s">
        <v>2</v>
      </c>
    </row>
    <row r="3" spans="1:9" x14ac:dyDescent="0.3">
      <c r="B3" s="3" t="s">
        <v>717</v>
      </c>
      <c r="C3" s="3" t="s">
        <v>595</v>
      </c>
      <c r="D3" s="3" t="s">
        <v>718</v>
      </c>
      <c r="E3" s="3" t="s">
        <v>719</v>
      </c>
      <c r="F3" s="3" t="s">
        <v>128</v>
      </c>
      <c r="H3" s="3" t="s">
        <v>717</v>
      </c>
      <c r="I3" s="3" t="s">
        <v>128</v>
      </c>
    </row>
    <row r="4" spans="1:9" x14ac:dyDescent="0.3">
      <c r="B4" s="4">
        <v>100</v>
      </c>
      <c r="C4" s="51" t="s">
        <v>750</v>
      </c>
      <c r="D4" s="4" t="s">
        <v>721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751</v>
      </c>
      <c r="D5" s="4" t="s">
        <v>724</v>
      </c>
      <c r="E5" s="4">
        <v>5</v>
      </c>
      <c r="F5" s="4">
        <v>5000</v>
      </c>
    </row>
    <row r="6" spans="1:9" x14ac:dyDescent="0.3">
      <c r="B6" s="4">
        <v>102</v>
      </c>
      <c r="C6" s="51" t="s">
        <v>752</v>
      </c>
      <c r="D6" s="4" t="s">
        <v>726</v>
      </c>
      <c r="E6" s="4">
        <v>6</v>
      </c>
      <c r="F6" s="4">
        <v>230</v>
      </c>
      <c r="H6" s="3" t="s">
        <v>718</v>
      </c>
      <c r="I6" s="3" t="s">
        <v>717</v>
      </c>
    </row>
    <row r="7" spans="1:9" x14ac:dyDescent="0.3">
      <c r="B7" s="4">
        <v>103</v>
      </c>
      <c r="C7" s="51" t="s">
        <v>753</v>
      </c>
      <c r="D7" s="4" t="s">
        <v>722</v>
      </c>
      <c r="E7" s="4">
        <v>7</v>
      </c>
      <c r="F7" s="4">
        <v>6500</v>
      </c>
      <c r="H7" s="4" t="s">
        <v>726</v>
      </c>
      <c r="I7">
        <f>INDEX(B3:F9,MATCH(H7,D3:D9,0),1)</f>
        <v>102</v>
      </c>
    </row>
    <row r="8" spans="1:9" x14ac:dyDescent="0.3">
      <c r="B8" s="4">
        <v>104</v>
      </c>
      <c r="C8" s="51" t="s">
        <v>754</v>
      </c>
      <c r="D8" s="4" t="s">
        <v>729</v>
      </c>
      <c r="E8" s="4">
        <v>4</v>
      </c>
      <c r="F8" s="4">
        <v>45000</v>
      </c>
    </row>
    <row r="9" spans="1:9" x14ac:dyDescent="0.3">
      <c r="B9" s="4">
        <v>105</v>
      </c>
      <c r="C9" s="51" t="s">
        <v>755</v>
      </c>
      <c r="D9" s="4" t="s">
        <v>731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717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714</v>
      </c>
      <c r="C14" s="3" t="s">
        <v>595</v>
      </c>
      <c r="D14" s="3" t="s">
        <v>252</v>
      </c>
      <c r="E14" s="3" t="s">
        <v>663</v>
      </c>
      <c r="F14" s="3" t="s">
        <v>715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756</v>
      </c>
    </row>
    <row r="2" spans="1:9" ht="16.5" customHeight="1" x14ac:dyDescent="0.3">
      <c r="A2" s="37" t="s">
        <v>2</v>
      </c>
    </row>
    <row r="3" spans="1:9" x14ac:dyDescent="0.3">
      <c r="B3" s="3" t="s">
        <v>717</v>
      </c>
      <c r="C3" s="42" t="s">
        <v>595</v>
      </c>
      <c r="D3" s="3" t="s">
        <v>718</v>
      </c>
      <c r="E3" s="3" t="s">
        <v>719</v>
      </c>
      <c r="F3" s="3" t="s">
        <v>128</v>
      </c>
      <c r="H3" s="3" t="s">
        <v>718</v>
      </c>
      <c r="I3" s="3" t="s">
        <v>717</v>
      </c>
    </row>
    <row r="4" spans="1:9" x14ac:dyDescent="0.3">
      <c r="B4" s="21">
        <v>100</v>
      </c>
      <c r="C4" s="39" t="s">
        <v>750</v>
      </c>
      <c r="D4" s="43" t="s">
        <v>721</v>
      </c>
      <c r="E4" s="4">
        <v>3</v>
      </c>
      <c r="F4" s="4">
        <v>1200</v>
      </c>
      <c r="H4" s="4" t="s">
        <v>726</v>
      </c>
      <c r="I4" s="4">
        <f>_xlfn.XLOOKUP(H4,D3:D9,B3:B9)</f>
        <v>102</v>
      </c>
    </row>
    <row r="5" spans="1:9" x14ac:dyDescent="0.3">
      <c r="B5" s="21">
        <v>101</v>
      </c>
      <c r="C5" s="39" t="s">
        <v>757</v>
      </c>
      <c r="D5" s="43" t="s">
        <v>724</v>
      </c>
      <c r="E5" s="4">
        <v>5</v>
      </c>
      <c r="F5" s="4">
        <v>5000</v>
      </c>
    </row>
    <row r="6" spans="1:9" x14ac:dyDescent="0.3">
      <c r="B6" s="21">
        <v>102</v>
      </c>
      <c r="C6" s="39" t="s">
        <v>752</v>
      </c>
      <c r="D6" s="43" t="s">
        <v>726</v>
      </c>
      <c r="E6" s="4">
        <v>6</v>
      </c>
      <c r="F6" s="4">
        <v>230</v>
      </c>
    </row>
    <row r="7" spans="1:9" x14ac:dyDescent="0.3">
      <c r="B7" s="21">
        <v>103</v>
      </c>
      <c r="C7" s="39" t="s">
        <v>753</v>
      </c>
      <c r="D7" s="43" t="s">
        <v>722</v>
      </c>
      <c r="E7" s="4">
        <v>7</v>
      </c>
      <c r="F7" s="4">
        <v>6500</v>
      </c>
    </row>
    <row r="8" spans="1:9" x14ac:dyDescent="0.3">
      <c r="B8" s="21">
        <v>102</v>
      </c>
      <c r="C8" s="39" t="s">
        <v>754</v>
      </c>
      <c r="D8" s="43" t="s">
        <v>729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755</v>
      </c>
      <c r="D9" s="43" t="s">
        <v>731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717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717</v>
      </c>
      <c r="C17" s="3" t="s">
        <v>595</v>
      </c>
      <c r="D17" s="3" t="s">
        <v>718</v>
      </c>
      <c r="E17" s="3" t="s">
        <v>719</v>
      </c>
      <c r="F17" s="3" t="s">
        <v>128</v>
      </c>
    </row>
    <row r="18" spans="2:8" x14ac:dyDescent="0.3">
      <c r="B18" s="4">
        <v>100</v>
      </c>
      <c r="C18" s="4" t="s">
        <v>758</v>
      </c>
      <c r="D18" s="4" t="s">
        <v>721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759</v>
      </c>
      <c r="D19" s="4" t="s">
        <v>724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726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760</v>
      </c>
      <c r="D21" s="4" t="s">
        <v>722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761</v>
      </c>
      <c r="D22" s="4" t="s">
        <v>729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762</v>
      </c>
      <c r="D23" s="4" t="s">
        <v>731</v>
      </c>
      <c r="E23" s="4">
        <v>5</v>
      </c>
      <c r="F23" s="4">
        <v>3000</v>
      </c>
    </row>
    <row r="25" spans="2:8" x14ac:dyDescent="0.3">
      <c r="B25" s="3" t="s">
        <v>717</v>
      </c>
      <c r="C25" s="3" t="s">
        <v>595</v>
      </c>
      <c r="D25" s="3" t="s">
        <v>718</v>
      </c>
      <c r="E25" s="3" t="s">
        <v>719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717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595</v>
      </c>
      <c r="C31" s="34" t="s">
        <v>758</v>
      </c>
      <c r="D31" s="34" t="s">
        <v>759</v>
      </c>
      <c r="E31" s="34" t="s">
        <v>99</v>
      </c>
      <c r="F31" s="34" t="s">
        <v>760</v>
      </c>
      <c r="G31" s="34" t="s">
        <v>761</v>
      </c>
      <c r="H31" s="34" t="s">
        <v>762</v>
      </c>
    </row>
    <row r="32" spans="2:8" x14ac:dyDescent="0.3">
      <c r="B32" s="12" t="s">
        <v>718</v>
      </c>
      <c r="C32" s="34" t="s">
        <v>721</v>
      </c>
      <c r="D32" s="34" t="s">
        <v>724</v>
      </c>
      <c r="E32" s="34" t="s">
        <v>726</v>
      </c>
      <c r="F32" s="34" t="s">
        <v>722</v>
      </c>
      <c r="G32" s="34" t="s">
        <v>729</v>
      </c>
      <c r="H32" s="34" t="s">
        <v>731</v>
      </c>
    </row>
    <row r="33" spans="2:8" x14ac:dyDescent="0.3">
      <c r="B33" s="12" t="s">
        <v>719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717</v>
      </c>
      <c r="C36" s="34">
        <v>101</v>
      </c>
      <c r="E36" s="12" t="s">
        <v>717</v>
      </c>
      <c r="F36" s="34">
        <v>103</v>
      </c>
    </row>
    <row r="37" spans="2:8" x14ac:dyDescent="0.3">
      <c r="B37" s="12" t="s">
        <v>718</v>
      </c>
      <c r="C37" s="4" t="str">
        <f>_xlfn.XLOOKUP(C36,B30:H30,B32:H32)</f>
        <v>P004</v>
      </c>
      <c r="E37" s="12" t="s">
        <v>595</v>
      </c>
      <c r="F37" s="4" t="str">
        <f>_xlfn.XLOOKUP($F$36,$B$30:$H$30,B31:H31)</f>
        <v>Priner</v>
      </c>
    </row>
    <row r="38" spans="2:8" x14ac:dyDescent="0.3">
      <c r="E38" s="12" t="s">
        <v>718</v>
      </c>
      <c r="F38" s="4" t="str">
        <f>_xlfn.XLOOKUP($F$36,$B$30:$H$30,B32:H32)</f>
        <v>P003</v>
      </c>
    </row>
    <row r="39" spans="2:8" x14ac:dyDescent="0.3">
      <c r="E39" s="12" t="s">
        <v>719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N9" sqref="N9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763</v>
      </c>
      <c r="C3" s="123" t="s">
        <v>764</v>
      </c>
      <c r="D3" s="123" t="s">
        <v>765</v>
      </c>
      <c r="E3" s="123" t="s">
        <v>766</v>
      </c>
      <c r="F3" s="123" t="s">
        <v>767</v>
      </c>
      <c r="G3" s="123" t="s">
        <v>768</v>
      </c>
      <c r="H3" s="123" t="s">
        <v>769</v>
      </c>
      <c r="I3" s="124" t="s">
        <v>770</v>
      </c>
      <c r="K3" s="113" t="s">
        <v>771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772</v>
      </c>
      <c r="C4" s="107">
        <v>200</v>
      </c>
      <c r="D4" s="107">
        <v>3000</v>
      </c>
      <c r="E4" s="107" t="s">
        <v>773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774</v>
      </c>
      <c r="C5" s="107">
        <v>100</v>
      </c>
      <c r="D5" s="107">
        <v>2000</v>
      </c>
      <c r="E5" s="107" t="s">
        <v>773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766</v>
      </c>
      <c r="O5" s="117" t="s">
        <v>775</v>
      </c>
      <c r="R5" s="115"/>
    </row>
    <row r="6" spans="1:18" ht="19.5" thickBot="1" x14ac:dyDescent="0.35">
      <c r="B6" s="106" t="s">
        <v>776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7" t="s">
        <v>777</v>
      </c>
      <c r="L6" s="147"/>
      <c r="M6" s="148"/>
      <c r="N6" s="118" t="s">
        <v>773</v>
      </c>
      <c r="R6" s="115"/>
    </row>
    <row r="7" spans="1:18" ht="19.5" thickTop="1" x14ac:dyDescent="0.3">
      <c r="B7" s="106" t="s">
        <v>778</v>
      </c>
      <c r="C7" s="107">
        <v>10</v>
      </c>
      <c r="D7" s="107">
        <v>8000</v>
      </c>
      <c r="E7" s="107" t="s">
        <v>779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772</v>
      </c>
      <c r="C8" s="107">
        <v>80</v>
      </c>
      <c r="D8" s="107">
        <v>1000</v>
      </c>
      <c r="E8" s="107" t="s">
        <v>773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 t="e">
        <f>DSUM(B3:I19,D3:D19,E3)</f>
        <v>#VALUE!</v>
      </c>
      <c r="O8" s="120"/>
      <c r="R8" s="115"/>
    </row>
    <row r="9" spans="1:18" x14ac:dyDescent="0.3">
      <c r="B9" s="106" t="s">
        <v>776</v>
      </c>
      <c r="C9" s="107">
        <v>100</v>
      </c>
      <c r="D9" s="107" t="s">
        <v>780</v>
      </c>
      <c r="E9" s="107" t="s">
        <v>773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776</v>
      </c>
      <c r="C10" s="107">
        <v>200</v>
      </c>
      <c r="D10" s="107">
        <v>3000</v>
      </c>
      <c r="E10" s="107" t="s">
        <v>773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778</v>
      </c>
      <c r="C11" s="107">
        <v>25</v>
      </c>
      <c r="D11" s="107" t="s">
        <v>780</v>
      </c>
      <c r="E11" s="107" t="s">
        <v>779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772</v>
      </c>
      <c r="C12" s="107">
        <v>200</v>
      </c>
      <c r="D12" s="107">
        <v>3000</v>
      </c>
      <c r="E12" s="107" t="s">
        <v>779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774</v>
      </c>
      <c r="C13" s="107">
        <v>100</v>
      </c>
      <c r="D13" s="107">
        <v>2000</v>
      </c>
      <c r="E13" s="107" t="s">
        <v>779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772</v>
      </c>
      <c r="C14" s="107">
        <v>100</v>
      </c>
      <c r="D14" s="107" t="s">
        <v>780</v>
      </c>
      <c r="E14" s="107" t="s">
        <v>779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772</v>
      </c>
      <c r="C15" s="107">
        <v>10</v>
      </c>
      <c r="D15" s="107">
        <v>800</v>
      </c>
      <c r="E15" s="107" t="s">
        <v>773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9" t="s">
        <v>781</v>
      </c>
      <c r="L15" s="149"/>
    </row>
    <row r="16" spans="1:18" x14ac:dyDescent="0.3">
      <c r="B16" s="106" t="s">
        <v>772</v>
      </c>
      <c r="C16" s="107">
        <v>60</v>
      </c>
      <c r="D16" s="107">
        <v>1000</v>
      </c>
      <c r="E16" s="107" t="s">
        <v>779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773</v>
      </c>
      <c r="L16" s="4" t="s">
        <v>772</v>
      </c>
    </row>
    <row r="17" spans="2:12" x14ac:dyDescent="0.3">
      <c r="B17" s="106" t="s">
        <v>772</v>
      </c>
      <c r="C17" s="107">
        <v>80</v>
      </c>
      <c r="D17" s="107">
        <v>1000</v>
      </c>
      <c r="E17" s="107" t="s">
        <v>779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779</v>
      </c>
      <c r="L17" s="4" t="s">
        <v>774</v>
      </c>
    </row>
    <row r="18" spans="2:12" x14ac:dyDescent="0.3">
      <c r="B18" s="106" t="s">
        <v>772</v>
      </c>
      <c r="C18" s="107">
        <v>100</v>
      </c>
      <c r="D18" s="107">
        <v>2000</v>
      </c>
      <c r="E18" s="107" t="s">
        <v>773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776</v>
      </c>
    </row>
    <row r="19" spans="2:12" ht="19.5" thickBot="1" x14ac:dyDescent="0.35">
      <c r="B19" s="110" t="s">
        <v>772</v>
      </c>
      <c r="C19" s="111">
        <v>40</v>
      </c>
      <c r="D19" s="111">
        <v>1000</v>
      </c>
      <c r="E19" s="111" t="s">
        <v>773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778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I32" sqref="I3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50" t="s">
        <v>76</v>
      </c>
      <c r="C1" s="150"/>
    </row>
    <row r="2" spans="1:13" x14ac:dyDescent="0.3">
      <c r="A2" s="37" t="s">
        <v>2</v>
      </c>
    </row>
    <row r="3" spans="1:13" x14ac:dyDescent="0.3">
      <c r="B3" s="3" t="s">
        <v>782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721</v>
      </c>
      <c r="C4" s="39" t="s">
        <v>783</v>
      </c>
      <c r="D4" s="21" t="s">
        <v>90</v>
      </c>
      <c r="E4" s="39">
        <v>18500</v>
      </c>
      <c r="G4" s="4" t="s">
        <v>784</v>
      </c>
      <c r="H4" s="4" t="s">
        <v>547</v>
      </c>
    </row>
    <row r="5" spans="1:13" x14ac:dyDescent="0.3">
      <c r="B5" s="4" t="s">
        <v>726</v>
      </c>
      <c r="C5" s="39" t="s">
        <v>130</v>
      </c>
      <c r="D5" s="21" t="s">
        <v>92</v>
      </c>
      <c r="E5" s="39">
        <v>6200</v>
      </c>
    </row>
    <row r="6" spans="1:13" x14ac:dyDescent="0.3">
      <c r="B6" s="4" t="s">
        <v>722</v>
      </c>
      <c r="C6" s="39" t="s">
        <v>120</v>
      </c>
      <c r="D6" s="21" t="s">
        <v>94</v>
      </c>
      <c r="E6" s="39">
        <v>32500</v>
      </c>
      <c r="G6" s="3" t="s">
        <v>782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724</v>
      </c>
      <c r="C7" s="39" t="s">
        <v>783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729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731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785</v>
      </c>
      <c r="C10" s="39" t="s">
        <v>783</v>
      </c>
      <c r="D10" s="21" t="s">
        <v>90</v>
      </c>
      <c r="E10" s="39">
        <v>27500</v>
      </c>
    </row>
    <row r="11" spans="1:13" x14ac:dyDescent="0.3">
      <c r="B11" s="4" t="s">
        <v>786</v>
      </c>
      <c r="C11" s="39" t="s">
        <v>130</v>
      </c>
      <c r="D11" s="21" t="s">
        <v>92</v>
      </c>
      <c r="E11" s="39">
        <v>6600</v>
      </c>
    </row>
    <row r="12" spans="1:13" x14ac:dyDescent="0.3">
      <c r="B12" s="4" t="s">
        <v>787</v>
      </c>
      <c r="C12" s="39" t="s">
        <v>788</v>
      </c>
      <c r="D12" s="21" t="s">
        <v>90</v>
      </c>
      <c r="E12" s="39">
        <v>6100</v>
      </c>
    </row>
    <row r="13" spans="1:13" x14ac:dyDescent="0.3">
      <c r="B13" s="4" t="s">
        <v>789</v>
      </c>
      <c r="C13" s="39" t="s">
        <v>129</v>
      </c>
      <c r="D13" s="21" t="s">
        <v>90</v>
      </c>
      <c r="E13" s="39">
        <v>28000</v>
      </c>
    </row>
    <row r="16" spans="1:13" x14ac:dyDescent="0.3">
      <c r="B16" s="3" t="s">
        <v>790</v>
      </c>
      <c r="C16" s="3" t="s">
        <v>782</v>
      </c>
      <c r="D16" s="3" t="s">
        <v>83</v>
      </c>
      <c r="E16" s="3" t="s">
        <v>84</v>
      </c>
      <c r="G16" s="3" t="s">
        <v>791</v>
      </c>
      <c r="H16" s="27">
        <v>45292</v>
      </c>
    </row>
    <row r="17" spans="2:10" x14ac:dyDescent="0.3">
      <c r="B17" s="27">
        <v>45292</v>
      </c>
      <c r="C17" s="4" t="s">
        <v>721</v>
      </c>
      <c r="D17" s="39" t="s">
        <v>783</v>
      </c>
      <c r="E17" s="4" t="s">
        <v>90</v>
      </c>
      <c r="G17" s="31" t="s">
        <v>633</v>
      </c>
      <c r="H17" s="27">
        <v>45301</v>
      </c>
    </row>
    <row r="18" spans="2:10" x14ac:dyDescent="0.3">
      <c r="B18" s="27">
        <v>45296</v>
      </c>
      <c r="C18" s="4" t="s">
        <v>726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722</v>
      </c>
      <c r="D19" s="39" t="s">
        <v>120</v>
      </c>
      <c r="E19" s="4" t="s">
        <v>94</v>
      </c>
      <c r="G19" s="3" t="s">
        <v>790</v>
      </c>
      <c r="H19" s="3" t="s">
        <v>782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724</v>
      </c>
      <c r="D20" s="39" t="s">
        <v>783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729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731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785</v>
      </c>
      <c r="D23" s="39" t="s">
        <v>783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786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787</v>
      </c>
      <c r="D25" s="39" t="s">
        <v>788</v>
      </c>
      <c r="E25" s="4" t="s">
        <v>90</v>
      </c>
    </row>
    <row r="26" spans="2:10" x14ac:dyDescent="0.3">
      <c r="B26" s="27">
        <v>45306</v>
      </c>
      <c r="C26" s="4" t="s">
        <v>789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G16" sqref="G16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792</v>
      </c>
      <c r="C5" s="31" t="s">
        <v>793</v>
      </c>
      <c r="D5" s="31" t="s">
        <v>794</v>
      </c>
      <c r="E5" s="31" t="s">
        <v>795</v>
      </c>
      <c r="F5" s="31" t="s">
        <v>346</v>
      </c>
      <c r="G5" s="31"/>
    </row>
    <row r="6" spans="1:13" x14ac:dyDescent="0.3">
      <c r="B6" s="4" t="s">
        <v>796</v>
      </c>
      <c r="C6" s="4" t="s">
        <v>797</v>
      </c>
      <c r="D6" s="4" t="s">
        <v>798</v>
      </c>
      <c r="E6" s="4" t="s">
        <v>799</v>
      </c>
      <c r="F6" s="4" t="s">
        <v>800</v>
      </c>
      <c r="G6" s="4"/>
    </row>
    <row r="7" spans="1:13" x14ac:dyDescent="0.3">
      <c r="B7" s="4" t="s">
        <v>801</v>
      </c>
      <c r="C7" s="4" t="s">
        <v>802</v>
      </c>
      <c r="D7" s="4" t="s">
        <v>803</v>
      </c>
      <c r="E7" s="4" t="s">
        <v>804</v>
      </c>
      <c r="F7" s="4" t="s">
        <v>805</v>
      </c>
      <c r="G7" s="4"/>
    </row>
    <row r="8" spans="1:13" x14ac:dyDescent="0.3">
      <c r="B8" s="4" t="s">
        <v>806</v>
      </c>
      <c r="C8" s="4" t="s">
        <v>807</v>
      </c>
      <c r="D8" s="4" t="s">
        <v>808</v>
      </c>
      <c r="E8" s="4" t="s">
        <v>809</v>
      </c>
      <c r="F8" s="4" t="s">
        <v>810</v>
      </c>
      <c r="G8" s="4"/>
    </row>
    <row r="9" spans="1:13" x14ac:dyDescent="0.3">
      <c r="B9" s="4" t="s">
        <v>811</v>
      </c>
      <c r="C9" s="4" t="s">
        <v>812</v>
      </c>
      <c r="D9" s="4" t="s">
        <v>813</v>
      </c>
      <c r="E9" s="4" t="s">
        <v>814</v>
      </c>
      <c r="F9" s="4" t="s">
        <v>815</v>
      </c>
      <c r="G9" s="4"/>
    </row>
    <row r="10" spans="1:13" x14ac:dyDescent="0.3">
      <c r="B10" s="4" t="s">
        <v>816</v>
      </c>
      <c r="C10" s="4" t="s">
        <v>817</v>
      </c>
      <c r="D10" s="4" t="s">
        <v>818</v>
      </c>
      <c r="E10" s="4" t="s">
        <v>819</v>
      </c>
      <c r="F10" s="4" t="s">
        <v>820</v>
      </c>
      <c r="G10" s="4"/>
    </row>
    <row r="11" spans="1:13" x14ac:dyDescent="0.3">
      <c r="B11" s="4" t="s">
        <v>821</v>
      </c>
      <c r="C11" s="4" t="s">
        <v>822</v>
      </c>
      <c r="D11" s="4" t="s">
        <v>823</v>
      </c>
      <c r="E11" s="4" t="s">
        <v>824</v>
      </c>
      <c r="F11" s="4" t="s">
        <v>825</v>
      </c>
      <c r="G11" s="4"/>
    </row>
    <row r="12" spans="1:13" x14ac:dyDescent="0.3">
      <c r="B12" s="4" t="s">
        <v>826</v>
      </c>
      <c r="C12" s="4" t="s">
        <v>827</v>
      </c>
      <c r="D12" s="4" t="s">
        <v>828</v>
      </c>
      <c r="E12" s="4" t="s">
        <v>829</v>
      </c>
      <c r="F12" s="4" t="s">
        <v>830</v>
      </c>
      <c r="G12" s="4"/>
    </row>
    <row r="15" spans="1:13" x14ac:dyDescent="0.3">
      <c r="B15" s="31" t="s">
        <v>792</v>
      </c>
      <c r="C15" s="31" t="s">
        <v>793</v>
      </c>
      <c r="D15" s="31" t="s">
        <v>794</v>
      </c>
      <c r="E15" s="31" t="s">
        <v>795</v>
      </c>
      <c r="F15" s="31" t="s">
        <v>346</v>
      </c>
      <c r="G15" s="31"/>
    </row>
    <row r="16" spans="1:13" x14ac:dyDescent="0.3">
      <c r="B16" s="4" t="s">
        <v>811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G9" sqref="G9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50" t="s">
        <v>78</v>
      </c>
      <c r="C1" s="150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831</v>
      </c>
      <c r="C4" s="92" t="s">
        <v>363</v>
      </c>
      <c r="D4" s="92" t="s">
        <v>832</v>
      </c>
      <c r="E4" s="92" t="s">
        <v>833</v>
      </c>
    </row>
    <row r="5" spans="1:13" x14ac:dyDescent="0.3">
      <c r="B5" s="93" t="s">
        <v>834</v>
      </c>
      <c r="C5" s="94">
        <v>16753</v>
      </c>
      <c r="D5" s="93" t="s">
        <v>835</v>
      </c>
      <c r="E5" s="93" t="s">
        <v>836</v>
      </c>
    </row>
    <row r="6" spans="1:13" x14ac:dyDescent="0.3">
      <c r="B6" s="95" t="s">
        <v>837</v>
      </c>
      <c r="C6" s="96">
        <v>14808</v>
      </c>
      <c r="D6" s="95" t="s">
        <v>838</v>
      </c>
      <c r="E6" s="95" t="s">
        <v>839</v>
      </c>
    </row>
    <row r="7" spans="1:13" x14ac:dyDescent="0.3">
      <c r="B7" s="97" t="s">
        <v>840</v>
      </c>
      <c r="C7" s="98">
        <v>10644</v>
      </c>
      <c r="D7" s="97" t="s">
        <v>835</v>
      </c>
      <c r="E7" s="97" t="s">
        <v>841</v>
      </c>
    </row>
    <row r="8" spans="1:13" x14ac:dyDescent="0.3">
      <c r="B8" s="97" t="s">
        <v>842</v>
      </c>
      <c r="C8" s="98">
        <v>1390</v>
      </c>
      <c r="D8" s="97" t="s">
        <v>838</v>
      </c>
      <c r="E8" s="97" t="s">
        <v>836</v>
      </c>
    </row>
    <row r="9" spans="1:13" x14ac:dyDescent="0.3">
      <c r="B9" s="95" t="s">
        <v>843</v>
      </c>
      <c r="C9" s="96">
        <v>4865</v>
      </c>
      <c r="D9" s="95" t="s">
        <v>838</v>
      </c>
      <c r="E9" s="95" t="s">
        <v>839</v>
      </c>
    </row>
    <row r="10" spans="1:13" x14ac:dyDescent="0.3">
      <c r="B10" s="99" t="s">
        <v>840</v>
      </c>
      <c r="C10" s="100">
        <v>12438</v>
      </c>
      <c r="D10" s="99" t="s">
        <v>835</v>
      </c>
      <c r="E10" s="99" t="s">
        <v>844</v>
      </c>
    </row>
    <row r="11" spans="1:13" x14ac:dyDescent="0.3">
      <c r="B11" s="101" t="s">
        <v>837</v>
      </c>
      <c r="C11" s="102">
        <v>9339</v>
      </c>
      <c r="D11" s="101" t="s">
        <v>835</v>
      </c>
      <c r="E11" s="101" t="s">
        <v>841</v>
      </c>
    </row>
    <row r="12" spans="1:13" x14ac:dyDescent="0.3">
      <c r="B12" s="103" t="s">
        <v>834</v>
      </c>
      <c r="C12" s="104">
        <v>18919</v>
      </c>
      <c r="D12" s="103" t="s">
        <v>838</v>
      </c>
      <c r="E12" s="103" t="s">
        <v>836</v>
      </c>
    </row>
    <row r="13" spans="1:13" x14ac:dyDescent="0.3">
      <c r="B13" s="95" t="s">
        <v>842</v>
      </c>
      <c r="C13" s="96">
        <v>9213</v>
      </c>
      <c r="D13" s="95" t="s">
        <v>838</v>
      </c>
      <c r="E13" s="95" t="s">
        <v>839</v>
      </c>
    </row>
    <row r="14" spans="1:13" x14ac:dyDescent="0.3">
      <c r="B14" s="99" t="s">
        <v>842</v>
      </c>
      <c r="C14" s="100">
        <v>7433</v>
      </c>
      <c r="D14" s="99" t="s">
        <v>835</v>
      </c>
      <c r="E14" s="99" t="s">
        <v>844</v>
      </c>
    </row>
    <row r="15" spans="1:13" x14ac:dyDescent="0.3">
      <c r="B15" s="97" t="s">
        <v>843</v>
      </c>
      <c r="C15" s="98">
        <v>3255</v>
      </c>
      <c r="D15" s="97" t="s">
        <v>838</v>
      </c>
      <c r="E15" s="97" t="s">
        <v>841</v>
      </c>
    </row>
    <row r="16" spans="1:13" x14ac:dyDescent="0.3">
      <c r="B16" s="103" t="s">
        <v>840</v>
      </c>
      <c r="C16" s="104">
        <v>14867</v>
      </c>
      <c r="D16" s="103" t="s">
        <v>838</v>
      </c>
      <c r="E16" s="103" t="s">
        <v>836</v>
      </c>
    </row>
    <row r="17" spans="2:5" x14ac:dyDescent="0.3">
      <c r="B17" s="95" t="s">
        <v>840</v>
      </c>
      <c r="C17" s="96">
        <v>19302</v>
      </c>
      <c r="D17" s="95" t="s">
        <v>835</v>
      </c>
      <c r="E17" s="95" t="s">
        <v>839</v>
      </c>
    </row>
    <row r="18" spans="2:5" x14ac:dyDescent="0.3">
      <c r="B18" s="101" t="s">
        <v>834</v>
      </c>
      <c r="C18" s="102">
        <v>9698</v>
      </c>
      <c r="D18" s="101" t="s">
        <v>838</v>
      </c>
      <c r="E18" s="101" t="s">
        <v>844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H8" sqref="H8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319</v>
      </c>
      <c r="C5" s="91" t="s">
        <v>363</v>
      </c>
      <c r="D5" s="91" t="s">
        <v>832</v>
      </c>
      <c r="E5" s="91" t="s">
        <v>833</v>
      </c>
      <c r="F5" s="91" t="s">
        <v>845</v>
      </c>
    </row>
    <row r="6" spans="1:13" x14ac:dyDescent="0.3">
      <c r="B6" t="s">
        <v>840</v>
      </c>
      <c r="C6" s="44">
        <v>10644</v>
      </c>
      <c r="D6" t="s">
        <v>835</v>
      </c>
      <c r="E6" t="s">
        <v>841</v>
      </c>
      <c r="F6" t="s">
        <v>846</v>
      </c>
    </row>
    <row r="7" spans="1:13" x14ac:dyDescent="0.3">
      <c r="B7" t="s">
        <v>840</v>
      </c>
      <c r="C7" s="44">
        <v>12438</v>
      </c>
      <c r="D7" t="s">
        <v>835</v>
      </c>
      <c r="E7" t="s">
        <v>844</v>
      </c>
      <c r="F7" t="s">
        <v>848</v>
      </c>
    </row>
    <row r="8" spans="1:13" x14ac:dyDescent="0.3">
      <c r="B8" t="s">
        <v>840</v>
      </c>
      <c r="C8" s="44">
        <v>14867</v>
      </c>
      <c r="D8" t="s">
        <v>838</v>
      </c>
      <c r="E8" t="s">
        <v>836</v>
      </c>
      <c r="F8" t="s">
        <v>846</v>
      </c>
    </row>
    <row r="9" spans="1:13" x14ac:dyDescent="0.3">
      <c r="B9" t="s">
        <v>840</v>
      </c>
      <c r="C9" s="44">
        <v>19302</v>
      </c>
      <c r="D9" t="s">
        <v>835</v>
      </c>
      <c r="E9" t="s">
        <v>839</v>
      </c>
      <c r="F9" t="s">
        <v>847</v>
      </c>
    </row>
    <row r="10" spans="1:13" x14ac:dyDescent="0.3">
      <c r="B10" t="s">
        <v>834</v>
      </c>
      <c r="C10" s="44">
        <v>16753</v>
      </c>
      <c r="D10" t="s">
        <v>835</v>
      </c>
      <c r="E10" t="s">
        <v>836</v>
      </c>
      <c r="F10" t="s">
        <v>846</v>
      </c>
    </row>
    <row r="11" spans="1:13" x14ac:dyDescent="0.3">
      <c r="B11" t="s">
        <v>834</v>
      </c>
      <c r="C11" s="44">
        <v>18919</v>
      </c>
      <c r="D11" t="s">
        <v>838</v>
      </c>
      <c r="E11" t="s">
        <v>836</v>
      </c>
      <c r="F11" t="s">
        <v>847</v>
      </c>
    </row>
    <row r="12" spans="1:13" x14ac:dyDescent="0.3">
      <c r="B12" t="s">
        <v>834</v>
      </c>
      <c r="C12" s="44">
        <v>9698</v>
      </c>
      <c r="D12" t="s">
        <v>838</v>
      </c>
      <c r="E12" t="s">
        <v>844</v>
      </c>
      <c r="F12" t="s">
        <v>848</v>
      </c>
    </row>
    <row r="13" spans="1:13" x14ac:dyDescent="0.3">
      <c r="B13" t="s">
        <v>842</v>
      </c>
      <c r="C13" s="44">
        <v>1390</v>
      </c>
      <c r="D13" t="s">
        <v>838</v>
      </c>
      <c r="E13" t="s">
        <v>836</v>
      </c>
      <c r="F13" t="s">
        <v>848</v>
      </c>
    </row>
    <row r="14" spans="1:13" x14ac:dyDescent="0.3">
      <c r="B14" t="s">
        <v>842</v>
      </c>
      <c r="C14" s="44">
        <v>9213</v>
      </c>
      <c r="D14" t="s">
        <v>838</v>
      </c>
      <c r="E14" t="s">
        <v>839</v>
      </c>
      <c r="F14" t="s">
        <v>846</v>
      </c>
    </row>
    <row r="15" spans="1:13" x14ac:dyDescent="0.3">
      <c r="B15" t="s">
        <v>842</v>
      </c>
      <c r="C15" s="44">
        <v>7433</v>
      </c>
      <c r="D15" t="s">
        <v>835</v>
      </c>
      <c r="E15" t="s">
        <v>844</v>
      </c>
      <c r="F15" t="s">
        <v>848</v>
      </c>
    </row>
    <row r="16" spans="1:13" x14ac:dyDescent="0.3">
      <c r="B16" t="s">
        <v>837</v>
      </c>
      <c r="C16" s="44">
        <v>14808</v>
      </c>
      <c r="D16" t="s">
        <v>838</v>
      </c>
      <c r="E16" t="s">
        <v>839</v>
      </c>
      <c r="F16" t="s">
        <v>847</v>
      </c>
    </row>
    <row r="17" spans="2:6" x14ac:dyDescent="0.3">
      <c r="B17" t="s">
        <v>837</v>
      </c>
      <c r="C17" s="44">
        <v>9339</v>
      </c>
      <c r="D17" t="s">
        <v>835</v>
      </c>
      <c r="E17" t="s">
        <v>841</v>
      </c>
      <c r="F17" t="s">
        <v>847</v>
      </c>
    </row>
    <row r="18" spans="2:6" x14ac:dyDescent="0.3">
      <c r="B18" t="s">
        <v>843</v>
      </c>
      <c r="C18" s="44">
        <v>4865</v>
      </c>
      <c r="D18" t="s">
        <v>838</v>
      </c>
      <c r="E18" t="s">
        <v>839</v>
      </c>
      <c r="F18" t="s">
        <v>847</v>
      </c>
    </row>
    <row r="19" spans="2:6" x14ac:dyDescent="0.3">
      <c r="B19" t="s">
        <v>843</v>
      </c>
      <c r="C19" s="44">
        <v>3255</v>
      </c>
      <c r="D19" t="s">
        <v>838</v>
      </c>
      <c r="E19" t="s">
        <v>841</v>
      </c>
      <c r="F19" t="s">
        <v>848</v>
      </c>
    </row>
  </sheetData>
  <autoFilter ref="B5:G5" xr:uid="{547A00D4-3A52-437F-8525-6DC9A1FD6BF5}"/>
  <sortState xmlns:xlrd2="http://schemas.microsoft.com/office/spreadsheetml/2017/richdata2" ref="B6:G19">
    <sortCondition descending="1" ref="B6:B19"/>
  </sortState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tabSelected="1" zoomScale="130" zoomScaleNormal="130" workbookViewId="0">
      <pane ySplit="1" topLeftCell="A2" activePane="bottomLeft" state="frozen"/>
      <selection activeCell="A2" sqref="A2"/>
      <selection pane="bottomLeft" activeCell="H10" sqref="H1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849</v>
      </c>
      <c r="D4" s="140" t="s">
        <v>363</v>
      </c>
      <c r="G4" t="s">
        <v>850</v>
      </c>
      <c r="H4">
        <f>COUNT(D5:D13)</f>
        <v>9</v>
      </c>
    </row>
    <row r="5" spans="1:13" x14ac:dyDescent="0.3">
      <c r="B5" s="30">
        <v>43031</v>
      </c>
      <c r="C5" t="s">
        <v>851</v>
      </c>
      <c r="D5">
        <v>100</v>
      </c>
      <c r="G5" t="s">
        <v>852</v>
      </c>
      <c r="H5">
        <f>COUNTA(D5:D13)</f>
        <v>9</v>
      </c>
    </row>
    <row r="6" spans="1:13" x14ac:dyDescent="0.3">
      <c r="B6" s="30">
        <v>43031</v>
      </c>
      <c r="C6" t="s">
        <v>853</v>
      </c>
      <c r="D6">
        <v>200</v>
      </c>
      <c r="G6" t="s">
        <v>854</v>
      </c>
      <c r="H6">
        <f>COUNTBLANK(D5:D13)</f>
        <v>0</v>
      </c>
    </row>
    <row r="7" spans="1:13" x14ac:dyDescent="0.3">
      <c r="B7" s="30">
        <v>43032</v>
      </c>
      <c r="C7" t="s">
        <v>855</v>
      </c>
      <c r="D7">
        <v>100</v>
      </c>
      <c r="G7" t="s">
        <v>856</v>
      </c>
    </row>
    <row r="8" spans="1:13" x14ac:dyDescent="0.3">
      <c r="B8" s="30">
        <v>43032</v>
      </c>
      <c r="C8" t="s">
        <v>851</v>
      </c>
      <c r="D8">
        <v>300</v>
      </c>
      <c r="G8" t="s">
        <v>857</v>
      </c>
    </row>
    <row r="9" spans="1:13" x14ac:dyDescent="0.3">
      <c r="B9" s="30">
        <v>43032</v>
      </c>
      <c r="C9" t="s">
        <v>851</v>
      </c>
      <c r="D9">
        <v>700</v>
      </c>
      <c r="G9" t="s">
        <v>858</v>
      </c>
    </row>
    <row r="10" spans="1:13" x14ac:dyDescent="0.3">
      <c r="B10" s="30">
        <v>43031</v>
      </c>
      <c r="C10" t="s">
        <v>855</v>
      </c>
      <c r="D10">
        <v>100</v>
      </c>
      <c r="G10" t="s">
        <v>859</v>
      </c>
    </row>
    <row r="11" spans="1:13" x14ac:dyDescent="0.3">
      <c r="B11" s="30">
        <v>43032</v>
      </c>
      <c r="C11" t="s">
        <v>853</v>
      </c>
      <c r="D11">
        <v>200</v>
      </c>
    </row>
    <row r="12" spans="1:13" x14ac:dyDescent="0.3">
      <c r="B12" s="30">
        <v>43032</v>
      </c>
      <c r="C12" t="s">
        <v>853</v>
      </c>
      <c r="D12">
        <v>500</v>
      </c>
    </row>
    <row r="13" spans="1:13" x14ac:dyDescent="0.3">
      <c r="B13" s="30">
        <v>43031</v>
      </c>
      <c r="C13" t="s">
        <v>853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860</v>
      </c>
      <c r="B3" t="s">
        <v>861</v>
      </c>
    </row>
    <row r="4" spans="1:2" x14ac:dyDescent="0.3">
      <c r="A4" s="13" t="s">
        <v>862</v>
      </c>
      <c r="B4" s="134">
        <v>110.99999999999999</v>
      </c>
    </row>
    <row r="5" spans="1:2" x14ac:dyDescent="0.3">
      <c r="A5" s="13" t="s">
        <v>371</v>
      </c>
      <c r="B5" s="134">
        <v>397.12000000000006</v>
      </c>
    </row>
    <row r="6" spans="1:2" x14ac:dyDescent="0.3">
      <c r="A6" s="13" t="s">
        <v>863</v>
      </c>
      <c r="B6" s="134">
        <v>341.29999999999995</v>
      </c>
    </row>
    <row r="7" spans="1:2" x14ac:dyDescent="0.3">
      <c r="A7" s="13" t="s">
        <v>669</v>
      </c>
      <c r="B7" s="134">
        <v>167.76000000000002</v>
      </c>
    </row>
    <row r="8" spans="1:2" x14ac:dyDescent="0.3">
      <c r="A8" s="13" t="s">
        <v>666</v>
      </c>
      <c r="B8" s="134">
        <v>379.79999999999995</v>
      </c>
    </row>
    <row r="9" spans="1:2" x14ac:dyDescent="0.3">
      <c r="A9" s="13" t="s">
        <v>864</v>
      </c>
      <c r="B9" s="134">
        <v>369.7</v>
      </c>
    </row>
    <row r="10" spans="1:2" x14ac:dyDescent="0.3">
      <c r="A10" s="13" t="s">
        <v>363</v>
      </c>
      <c r="B10" s="134">
        <v>638.49000000000012</v>
      </c>
    </row>
    <row r="11" spans="1:2" x14ac:dyDescent="0.3">
      <c r="A11" s="13" t="s">
        <v>865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860</v>
      </c>
      <c r="B3" t="s">
        <v>866</v>
      </c>
    </row>
    <row r="4" spans="1:2" x14ac:dyDescent="0.3">
      <c r="A4" s="13" t="s">
        <v>862</v>
      </c>
      <c r="B4" s="134">
        <v>2204.9299999999998</v>
      </c>
    </row>
    <row r="5" spans="1:2" x14ac:dyDescent="0.3">
      <c r="A5" s="13" t="s">
        <v>371</v>
      </c>
      <c r="B5" s="134">
        <v>14368.039000000001</v>
      </c>
    </row>
    <row r="6" spans="1:2" x14ac:dyDescent="0.3">
      <c r="A6" s="13" t="s">
        <v>863</v>
      </c>
      <c r="B6" s="134">
        <v>8778.9009999999998</v>
      </c>
    </row>
    <row r="7" spans="1:2" x14ac:dyDescent="0.3">
      <c r="A7" s="13" t="s">
        <v>669</v>
      </c>
      <c r="B7" s="134">
        <v>6006.1912000000011</v>
      </c>
    </row>
    <row r="8" spans="1:2" x14ac:dyDescent="0.3">
      <c r="A8" s="13" t="s">
        <v>666</v>
      </c>
      <c r="B8" s="134">
        <v>11048.359999999999</v>
      </c>
    </row>
    <row r="9" spans="1:2" x14ac:dyDescent="0.3">
      <c r="A9" s="13" t="s">
        <v>864</v>
      </c>
      <c r="B9" s="134">
        <v>12055.714</v>
      </c>
    </row>
    <row r="10" spans="1:2" x14ac:dyDescent="0.3">
      <c r="A10" s="13" t="s">
        <v>363</v>
      </c>
      <c r="B10" s="134">
        <v>27282.156799999997</v>
      </c>
    </row>
    <row r="11" spans="1:2" x14ac:dyDescent="0.3">
      <c r="A11" s="13" t="s">
        <v>865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2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50" t="s">
        <v>81</v>
      </c>
      <c r="C1" s="150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319</v>
      </c>
      <c r="D7" s="125" t="s">
        <v>317</v>
      </c>
      <c r="E7" s="125" t="s">
        <v>663</v>
      </c>
      <c r="F7" s="125" t="s">
        <v>867</v>
      </c>
      <c r="G7" s="125" t="s">
        <v>868</v>
      </c>
      <c r="H7" s="125" t="s">
        <v>869</v>
      </c>
      <c r="I7" s="125" t="s">
        <v>870</v>
      </c>
      <c r="J7" s="125" t="s">
        <v>871</v>
      </c>
      <c r="K7" s="125" t="s">
        <v>872</v>
      </c>
      <c r="L7" s="125" t="s">
        <v>873</v>
      </c>
    </row>
    <row r="8" spans="1:13" x14ac:dyDescent="0.3">
      <c r="C8" t="s">
        <v>874</v>
      </c>
      <c r="D8" t="s">
        <v>875</v>
      </c>
      <c r="E8" t="s">
        <v>864</v>
      </c>
      <c r="F8" t="s">
        <v>876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877</v>
      </c>
      <c r="K8" t="s">
        <v>878</v>
      </c>
      <c r="L8" t="s">
        <v>879</v>
      </c>
    </row>
    <row r="9" spans="1:13" x14ac:dyDescent="0.3">
      <c r="C9" t="s">
        <v>880</v>
      </c>
      <c r="D9" t="s">
        <v>881</v>
      </c>
      <c r="E9" t="s">
        <v>666</v>
      </c>
      <c r="F9" t="s">
        <v>882</v>
      </c>
      <c r="G9" s="126">
        <v>82.4</v>
      </c>
      <c r="H9" s="126">
        <v>24.54</v>
      </c>
      <c r="I9" s="126">
        <f t="shared" si="0"/>
        <v>2022.096</v>
      </c>
      <c r="J9" t="s">
        <v>877</v>
      </c>
      <c r="K9" t="s">
        <v>878</v>
      </c>
      <c r="L9" t="s">
        <v>879</v>
      </c>
    </row>
    <row r="10" spans="1:13" x14ac:dyDescent="0.3">
      <c r="C10" t="s">
        <v>883</v>
      </c>
      <c r="D10" t="s">
        <v>884</v>
      </c>
      <c r="E10" t="s">
        <v>363</v>
      </c>
      <c r="F10" t="s">
        <v>876</v>
      </c>
      <c r="G10" s="126">
        <v>39.9</v>
      </c>
      <c r="H10" s="126">
        <v>41.66</v>
      </c>
      <c r="I10" s="126">
        <f t="shared" si="0"/>
        <v>1662.2339999999997</v>
      </c>
      <c r="J10" t="s">
        <v>885</v>
      </c>
      <c r="K10" t="s">
        <v>886</v>
      </c>
      <c r="L10" t="s">
        <v>879</v>
      </c>
    </row>
    <row r="11" spans="1:13" x14ac:dyDescent="0.3">
      <c r="C11" t="s">
        <v>887</v>
      </c>
      <c r="D11" t="s">
        <v>888</v>
      </c>
      <c r="E11" t="s">
        <v>363</v>
      </c>
      <c r="F11" t="s">
        <v>889</v>
      </c>
      <c r="G11" s="126">
        <v>32.4</v>
      </c>
      <c r="H11" s="126">
        <v>14.37</v>
      </c>
      <c r="I11" s="126">
        <f t="shared" si="0"/>
        <v>465.58799999999997</v>
      </c>
      <c r="J11" t="s">
        <v>877</v>
      </c>
      <c r="K11" t="s">
        <v>886</v>
      </c>
      <c r="L11" t="s">
        <v>890</v>
      </c>
    </row>
    <row r="12" spans="1:13" x14ac:dyDescent="0.3">
      <c r="C12" t="s">
        <v>891</v>
      </c>
      <c r="D12" t="s">
        <v>892</v>
      </c>
      <c r="E12" t="s">
        <v>863</v>
      </c>
      <c r="F12" t="s">
        <v>893</v>
      </c>
      <c r="G12" s="126">
        <v>84.6</v>
      </c>
      <c r="H12" s="126">
        <v>29.76</v>
      </c>
      <c r="I12" s="126">
        <f t="shared" si="0"/>
        <v>2517.6959999999999</v>
      </c>
      <c r="J12" t="s">
        <v>877</v>
      </c>
      <c r="K12" t="s">
        <v>886</v>
      </c>
      <c r="L12" t="s">
        <v>890</v>
      </c>
    </row>
    <row r="13" spans="1:13" x14ac:dyDescent="0.3">
      <c r="C13" t="s">
        <v>891</v>
      </c>
      <c r="D13" t="s">
        <v>892</v>
      </c>
      <c r="E13" t="s">
        <v>863</v>
      </c>
      <c r="F13" t="s">
        <v>893</v>
      </c>
      <c r="G13" s="126">
        <v>84.6</v>
      </c>
      <c r="H13" s="126">
        <v>29.76</v>
      </c>
      <c r="I13" s="126">
        <f t="shared" si="0"/>
        <v>2517.6959999999999</v>
      </c>
      <c r="J13" t="s">
        <v>877</v>
      </c>
      <c r="K13" t="s">
        <v>886</v>
      </c>
      <c r="L13" t="s">
        <v>890</v>
      </c>
    </row>
    <row r="14" spans="1:13" x14ac:dyDescent="0.3">
      <c r="C14" t="s">
        <v>894</v>
      </c>
      <c r="D14" t="s">
        <v>895</v>
      </c>
      <c r="E14" t="s">
        <v>669</v>
      </c>
      <c r="F14" t="s">
        <v>882</v>
      </c>
      <c r="G14" s="126">
        <v>16.2</v>
      </c>
      <c r="H14" s="126">
        <v>33.04</v>
      </c>
      <c r="I14" s="126">
        <f t="shared" si="0"/>
        <v>535.24799999999993</v>
      </c>
      <c r="J14" t="s">
        <v>877</v>
      </c>
      <c r="K14" t="s">
        <v>878</v>
      </c>
      <c r="L14" t="s">
        <v>890</v>
      </c>
    </row>
    <row r="15" spans="1:13" x14ac:dyDescent="0.3">
      <c r="C15" t="s">
        <v>896</v>
      </c>
      <c r="D15" t="s">
        <v>897</v>
      </c>
      <c r="E15" t="s">
        <v>862</v>
      </c>
      <c r="F15" t="s">
        <v>893</v>
      </c>
      <c r="G15" s="126">
        <v>40</v>
      </c>
      <c r="H15" s="126">
        <v>17.88</v>
      </c>
      <c r="I15" s="126">
        <f t="shared" si="0"/>
        <v>715.19999999999993</v>
      </c>
      <c r="J15" t="s">
        <v>885</v>
      </c>
      <c r="K15" t="s">
        <v>886</v>
      </c>
      <c r="L15" t="s">
        <v>879</v>
      </c>
    </row>
    <row r="16" spans="1:13" x14ac:dyDescent="0.3">
      <c r="C16" t="s">
        <v>898</v>
      </c>
      <c r="D16" t="s">
        <v>897</v>
      </c>
      <c r="E16" t="s">
        <v>371</v>
      </c>
      <c r="F16" t="s">
        <v>876</v>
      </c>
      <c r="G16" s="126">
        <v>33.200000000000003</v>
      </c>
      <c r="H16" s="126">
        <v>24.05</v>
      </c>
      <c r="I16" s="126">
        <f t="shared" si="0"/>
        <v>798.46</v>
      </c>
      <c r="J16" t="s">
        <v>877</v>
      </c>
      <c r="K16" t="s">
        <v>878</v>
      </c>
      <c r="L16" t="s">
        <v>879</v>
      </c>
    </row>
    <row r="17" spans="3:12" x14ac:dyDescent="0.3">
      <c r="C17" t="s">
        <v>899</v>
      </c>
      <c r="D17" t="s">
        <v>900</v>
      </c>
      <c r="E17" t="s">
        <v>666</v>
      </c>
      <c r="F17" t="s">
        <v>889</v>
      </c>
      <c r="G17" s="126">
        <v>87.6</v>
      </c>
      <c r="H17" s="126">
        <v>23</v>
      </c>
      <c r="I17" s="126">
        <f t="shared" si="0"/>
        <v>2014.8</v>
      </c>
      <c r="J17" t="s">
        <v>885</v>
      </c>
      <c r="K17" t="s">
        <v>878</v>
      </c>
      <c r="L17" t="s">
        <v>879</v>
      </c>
    </row>
    <row r="18" spans="3:12" x14ac:dyDescent="0.3">
      <c r="C18" t="s">
        <v>901</v>
      </c>
      <c r="D18" t="s">
        <v>902</v>
      </c>
      <c r="E18" t="s">
        <v>363</v>
      </c>
      <c r="F18" t="s">
        <v>893</v>
      </c>
      <c r="G18" s="126">
        <v>95</v>
      </c>
      <c r="H18" s="126">
        <v>48.63</v>
      </c>
      <c r="I18" s="126">
        <f t="shared" si="0"/>
        <v>4619.8500000000004</v>
      </c>
      <c r="J18" t="s">
        <v>877</v>
      </c>
      <c r="K18" t="s">
        <v>878</v>
      </c>
      <c r="L18" t="s">
        <v>890</v>
      </c>
    </row>
    <row r="19" spans="3:12" x14ac:dyDescent="0.3">
      <c r="C19" t="s">
        <v>901</v>
      </c>
      <c r="D19" t="s">
        <v>902</v>
      </c>
      <c r="E19" t="s">
        <v>363</v>
      </c>
      <c r="F19" t="s">
        <v>893</v>
      </c>
      <c r="G19" s="126">
        <v>95</v>
      </c>
      <c r="H19" s="126">
        <v>48.63</v>
      </c>
      <c r="I19" s="126">
        <f t="shared" si="0"/>
        <v>4619.8500000000004</v>
      </c>
      <c r="J19" t="s">
        <v>877</v>
      </c>
      <c r="K19" t="s">
        <v>878</v>
      </c>
      <c r="L19" t="s">
        <v>890</v>
      </c>
    </row>
    <row r="20" spans="3:12" x14ac:dyDescent="0.3">
      <c r="C20" t="s">
        <v>903</v>
      </c>
      <c r="D20" t="s">
        <v>904</v>
      </c>
      <c r="E20" t="s">
        <v>363</v>
      </c>
      <c r="F20" t="s">
        <v>905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885</v>
      </c>
      <c r="K20" t="s">
        <v>878</v>
      </c>
      <c r="L20" t="s">
        <v>890</v>
      </c>
    </row>
    <row r="21" spans="3:12" x14ac:dyDescent="0.3">
      <c r="C21" t="s">
        <v>906</v>
      </c>
      <c r="D21" t="s">
        <v>907</v>
      </c>
      <c r="E21" t="s">
        <v>363</v>
      </c>
      <c r="F21" t="s">
        <v>908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877</v>
      </c>
      <c r="K21" t="s">
        <v>886</v>
      </c>
      <c r="L21" t="s">
        <v>879</v>
      </c>
    </row>
    <row r="22" spans="3:12" x14ac:dyDescent="0.3">
      <c r="C22" t="s">
        <v>909</v>
      </c>
      <c r="D22" t="s">
        <v>910</v>
      </c>
      <c r="E22" t="s">
        <v>863</v>
      </c>
      <c r="F22" t="s">
        <v>893</v>
      </c>
      <c r="G22" s="126">
        <v>13.2</v>
      </c>
      <c r="H22" s="126">
        <v>12.06</v>
      </c>
      <c r="I22" s="126">
        <f t="shared" si="0"/>
        <v>159.19200000000001</v>
      </c>
      <c r="J22" t="s">
        <v>877</v>
      </c>
      <c r="K22" t="s">
        <v>886</v>
      </c>
      <c r="L22" t="s">
        <v>890</v>
      </c>
    </row>
    <row r="23" spans="3:12" x14ac:dyDescent="0.3">
      <c r="C23" t="s">
        <v>911</v>
      </c>
      <c r="D23" t="s">
        <v>910</v>
      </c>
      <c r="E23" t="s">
        <v>666</v>
      </c>
      <c r="F23" t="s">
        <v>876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877</v>
      </c>
      <c r="K23" t="s">
        <v>886</v>
      </c>
      <c r="L23" t="s">
        <v>879</v>
      </c>
    </row>
    <row r="24" spans="3:12" x14ac:dyDescent="0.3">
      <c r="C24" t="s">
        <v>912</v>
      </c>
      <c r="D24" t="s">
        <v>913</v>
      </c>
      <c r="E24" t="s">
        <v>862</v>
      </c>
      <c r="F24" t="s">
        <v>882</v>
      </c>
      <c r="G24" s="126">
        <v>26.6</v>
      </c>
      <c r="H24" s="126">
        <v>15.99</v>
      </c>
      <c r="I24" s="126">
        <f t="shared" si="0"/>
        <v>425.334</v>
      </c>
      <c r="J24" t="s">
        <v>885</v>
      </c>
      <c r="K24" t="s">
        <v>886</v>
      </c>
      <c r="L24" t="s">
        <v>890</v>
      </c>
    </row>
    <row r="25" spans="3:12" x14ac:dyDescent="0.3">
      <c r="C25" t="s">
        <v>914</v>
      </c>
      <c r="D25" t="s">
        <v>498</v>
      </c>
      <c r="E25" t="s">
        <v>863</v>
      </c>
      <c r="F25" t="s">
        <v>908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885</v>
      </c>
      <c r="K25" t="s">
        <v>878</v>
      </c>
      <c r="L25" t="s">
        <v>879</v>
      </c>
    </row>
    <row r="26" spans="3:12" x14ac:dyDescent="0.3">
      <c r="C26" t="s">
        <v>915</v>
      </c>
      <c r="D26" t="s">
        <v>916</v>
      </c>
      <c r="E26" t="s">
        <v>666</v>
      </c>
      <c r="F26" t="s">
        <v>905</v>
      </c>
      <c r="G26" s="126">
        <v>46.4</v>
      </c>
      <c r="H26" s="126">
        <v>40.799999999999997</v>
      </c>
      <c r="I26" s="126">
        <f t="shared" si="0"/>
        <v>1893.12</v>
      </c>
      <c r="J26" t="s">
        <v>885</v>
      </c>
      <c r="K26" t="s">
        <v>886</v>
      </c>
      <c r="L26" t="s">
        <v>890</v>
      </c>
    </row>
    <row r="27" spans="3:12" x14ac:dyDescent="0.3">
      <c r="C27" t="s">
        <v>915</v>
      </c>
      <c r="D27" t="s">
        <v>916</v>
      </c>
      <c r="E27" t="s">
        <v>666</v>
      </c>
      <c r="F27" t="s">
        <v>905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885</v>
      </c>
      <c r="K27" t="s">
        <v>886</v>
      </c>
      <c r="L27" t="s">
        <v>890</v>
      </c>
    </row>
    <row r="28" spans="3:12" x14ac:dyDescent="0.3">
      <c r="C28" t="s">
        <v>915</v>
      </c>
      <c r="D28" t="s">
        <v>916</v>
      </c>
      <c r="E28" t="s">
        <v>666</v>
      </c>
      <c r="F28" t="s">
        <v>905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885</v>
      </c>
      <c r="K28" t="s">
        <v>886</v>
      </c>
      <c r="L28" t="s">
        <v>890</v>
      </c>
    </row>
    <row r="29" spans="3:12" x14ac:dyDescent="0.3">
      <c r="C29" t="s">
        <v>917</v>
      </c>
      <c r="D29" t="s">
        <v>918</v>
      </c>
      <c r="E29" t="s">
        <v>863</v>
      </c>
      <c r="F29" t="s">
        <v>893</v>
      </c>
      <c r="G29" s="126">
        <v>78.5</v>
      </c>
      <c r="H29" s="126">
        <v>28.73</v>
      </c>
      <c r="I29" s="126">
        <f t="shared" si="0"/>
        <v>2255.3049999999998</v>
      </c>
      <c r="J29" t="s">
        <v>877</v>
      </c>
      <c r="K29" t="s">
        <v>886</v>
      </c>
      <c r="L29" t="s">
        <v>879</v>
      </c>
    </row>
    <row r="30" spans="3:12" x14ac:dyDescent="0.3">
      <c r="C30" t="s">
        <v>919</v>
      </c>
      <c r="D30" t="s">
        <v>920</v>
      </c>
      <c r="E30" t="s">
        <v>864</v>
      </c>
      <c r="F30" t="s">
        <v>905</v>
      </c>
      <c r="G30" s="126">
        <v>59.1</v>
      </c>
      <c r="H30" s="126">
        <v>34.83</v>
      </c>
      <c r="I30" s="126">
        <f t="shared" si="0"/>
        <v>2058.453</v>
      </c>
      <c r="J30" t="s">
        <v>885</v>
      </c>
      <c r="K30" t="s">
        <v>878</v>
      </c>
      <c r="L30" t="s">
        <v>890</v>
      </c>
    </row>
    <row r="31" spans="3:12" x14ac:dyDescent="0.3">
      <c r="C31" t="s">
        <v>921</v>
      </c>
      <c r="D31" t="s">
        <v>922</v>
      </c>
      <c r="E31" t="s">
        <v>864</v>
      </c>
      <c r="F31" t="s">
        <v>908</v>
      </c>
      <c r="G31" s="126">
        <v>22.5</v>
      </c>
      <c r="H31" s="126">
        <v>11.51</v>
      </c>
      <c r="I31" s="126">
        <f t="shared" si="0"/>
        <v>258.97500000000002</v>
      </c>
      <c r="J31" t="s">
        <v>877</v>
      </c>
      <c r="K31" t="s">
        <v>886</v>
      </c>
      <c r="L31" t="s">
        <v>890</v>
      </c>
    </row>
    <row r="32" spans="3:12" x14ac:dyDescent="0.3">
      <c r="C32" t="s">
        <v>923</v>
      </c>
      <c r="D32" t="s">
        <v>924</v>
      </c>
      <c r="E32" t="s">
        <v>862</v>
      </c>
      <c r="F32" t="s">
        <v>889</v>
      </c>
      <c r="G32" s="126">
        <v>15.1</v>
      </c>
      <c r="H32" s="126">
        <v>45.09</v>
      </c>
      <c r="I32" s="126">
        <f t="shared" si="0"/>
        <v>680.85900000000004</v>
      </c>
      <c r="J32" t="s">
        <v>877</v>
      </c>
      <c r="K32" t="s">
        <v>878</v>
      </c>
      <c r="L32" t="s">
        <v>890</v>
      </c>
    </row>
    <row r="33" spans="3:12" x14ac:dyDescent="0.3">
      <c r="C33" t="s">
        <v>925</v>
      </c>
      <c r="D33" t="s">
        <v>926</v>
      </c>
      <c r="E33" t="s">
        <v>669</v>
      </c>
      <c r="F33" t="s">
        <v>927</v>
      </c>
      <c r="G33" s="126">
        <v>52.36</v>
      </c>
      <c r="H33" s="126">
        <v>64.37</v>
      </c>
      <c r="I33" s="126">
        <f t="shared" si="0"/>
        <v>3370.4132000000004</v>
      </c>
      <c r="J33" t="s">
        <v>877</v>
      </c>
      <c r="K33" t="s">
        <v>886</v>
      </c>
      <c r="L33" t="s">
        <v>879</v>
      </c>
    </row>
    <row r="34" spans="3:12" x14ac:dyDescent="0.3">
      <c r="C34" t="s">
        <v>928</v>
      </c>
      <c r="D34" t="s">
        <v>929</v>
      </c>
      <c r="E34" t="s">
        <v>864</v>
      </c>
      <c r="F34" t="s">
        <v>889</v>
      </c>
      <c r="G34" s="126">
        <v>97.2</v>
      </c>
      <c r="H34" s="126">
        <v>30.3</v>
      </c>
      <c r="I34" s="126">
        <f t="shared" si="0"/>
        <v>2945.1600000000003</v>
      </c>
      <c r="J34" t="s">
        <v>877</v>
      </c>
      <c r="K34" t="s">
        <v>878</v>
      </c>
      <c r="L34" t="s">
        <v>890</v>
      </c>
    </row>
    <row r="35" spans="3:12" x14ac:dyDescent="0.3">
      <c r="C35" t="s">
        <v>928</v>
      </c>
      <c r="D35" t="s">
        <v>929</v>
      </c>
      <c r="E35" t="s">
        <v>864</v>
      </c>
      <c r="F35" t="s">
        <v>889</v>
      </c>
      <c r="G35" s="126">
        <v>97.2</v>
      </c>
      <c r="H35" s="126">
        <v>30.3</v>
      </c>
      <c r="I35" s="126">
        <f t="shared" si="0"/>
        <v>2945.1600000000003</v>
      </c>
      <c r="J35" t="s">
        <v>877</v>
      </c>
      <c r="K35" t="s">
        <v>878</v>
      </c>
      <c r="L35" t="s">
        <v>890</v>
      </c>
    </row>
    <row r="36" spans="3:12" x14ac:dyDescent="0.3">
      <c r="C36" t="s">
        <v>930</v>
      </c>
      <c r="D36" t="s">
        <v>931</v>
      </c>
      <c r="E36" t="s">
        <v>371</v>
      </c>
      <c r="F36" t="s">
        <v>893</v>
      </c>
      <c r="G36" s="126">
        <v>59.6</v>
      </c>
      <c r="H36" s="126">
        <v>39.97</v>
      </c>
      <c r="I36" s="126">
        <f t="shared" si="0"/>
        <v>2382.212</v>
      </c>
      <c r="J36" t="s">
        <v>877</v>
      </c>
      <c r="K36" t="s">
        <v>886</v>
      </c>
      <c r="L36" t="s">
        <v>879</v>
      </c>
    </row>
    <row r="37" spans="3:12" x14ac:dyDescent="0.3">
      <c r="C37" t="s">
        <v>932</v>
      </c>
      <c r="D37" t="s">
        <v>933</v>
      </c>
      <c r="E37" t="s">
        <v>363</v>
      </c>
      <c r="F37" t="s">
        <v>927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877</v>
      </c>
      <c r="K37" t="s">
        <v>878</v>
      </c>
      <c r="L37" t="s">
        <v>879</v>
      </c>
    </row>
    <row r="38" spans="3:12" x14ac:dyDescent="0.3">
      <c r="C38" t="s">
        <v>934</v>
      </c>
      <c r="D38" t="s">
        <v>935</v>
      </c>
      <c r="E38" t="s">
        <v>669</v>
      </c>
      <c r="F38" t="s">
        <v>893</v>
      </c>
      <c r="G38" s="126">
        <v>87.3</v>
      </c>
      <c r="H38" s="126">
        <v>19.68</v>
      </c>
      <c r="I38" s="126">
        <f t="shared" si="0"/>
        <v>1718.0639999999999</v>
      </c>
      <c r="J38" t="s">
        <v>885</v>
      </c>
      <c r="K38" t="s">
        <v>878</v>
      </c>
      <c r="L38" t="s">
        <v>890</v>
      </c>
    </row>
    <row r="39" spans="3:12" x14ac:dyDescent="0.3">
      <c r="C39" t="s">
        <v>936</v>
      </c>
      <c r="D39" t="s">
        <v>937</v>
      </c>
      <c r="E39" t="s">
        <v>669</v>
      </c>
      <c r="F39" t="s">
        <v>905</v>
      </c>
      <c r="G39" s="126">
        <v>11.9</v>
      </c>
      <c r="H39" s="126">
        <v>32.14</v>
      </c>
      <c r="I39" s="126">
        <f t="shared" si="0"/>
        <v>382.46600000000001</v>
      </c>
      <c r="J39" t="s">
        <v>877</v>
      </c>
      <c r="K39" t="s">
        <v>886</v>
      </c>
      <c r="L39" t="s">
        <v>890</v>
      </c>
    </row>
    <row r="40" spans="3:12" x14ac:dyDescent="0.3">
      <c r="C40" t="s">
        <v>938</v>
      </c>
      <c r="D40" t="s">
        <v>939</v>
      </c>
      <c r="E40" t="s">
        <v>371</v>
      </c>
      <c r="F40" t="s">
        <v>882</v>
      </c>
      <c r="G40" s="126">
        <v>96.3</v>
      </c>
      <c r="H40" s="126">
        <v>35.92</v>
      </c>
      <c r="I40" s="126">
        <f t="shared" si="0"/>
        <v>3459.096</v>
      </c>
      <c r="J40" t="s">
        <v>885</v>
      </c>
      <c r="K40" t="s">
        <v>878</v>
      </c>
      <c r="L40" t="s">
        <v>879</v>
      </c>
    </row>
    <row r="41" spans="3:12" x14ac:dyDescent="0.3">
      <c r="C41" t="s">
        <v>938</v>
      </c>
      <c r="D41" t="s">
        <v>939</v>
      </c>
      <c r="E41" t="s">
        <v>371</v>
      </c>
      <c r="F41" t="s">
        <v>882</v>
      </c>
      <c r="G41" s="126">
        <v>96.3</v>
      </c>
      <c r="H41" s="126">
        <v>35.92</v>
      </c>
      <c r="I41" s="126">
        <f t="shared" si="0"/>
        <v>3459.096</v>
      </c>
      <c r="J41" t="s">
        <v>885</v>
      </c>
      <c r="K41" t="s">
        <v>878</v>
      </c>
      <c r="L41" t="s">
        <v>879</v>
      </c>
    </row>
    <row r="42" spans="3:12" x14ac:dyDescent="0.3">
      <c r="C42" t="s">
        <v>940</v>
      </c>
      <c r="D42" t="s">
        <v>941</v>
      </c>
      <c r="E42" t="s">
        <v>864</v>
      </c>
      <c r="F42" t="s">
        <v>876</v>
      </c>
      <c r="G42" s="126">
        <v>13.6</v>
      </c>
      <c r="H42" s="126">
        <v>20.14</v>
      </c>
      <c r="I42" s="126">
        <f t="shared" si="0"/>
        <v>273.904</v>
      </c>
      <c r="J42" t="s">
        <v>877</v>
      </c>
      <c r="K42" t="s">
        <v>886</v>
      </c>
      <c r="L42" t="s">
        <v>890</v>
      </c>
    </row>
    <row r="43" spans="3:12" x14ac:dyDescent="0.3">
      <c r="C43" t="s">
        <v>942</v>
      </c>
      <c r="D43" t="s">
        <v>941</v>
      </c>
      <c r="E43" t="s">
        <v>363</v>
      </c>
      <c r="F43" t="s">
        <v>908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885</v>
      </c>
      <c r="K43" t="s">
        <v>878</v>
      </c>
      <c r="L43" t="s">
        <v>879</v>
      </c>
    </row>
    <row r="44" spans="3:12" x14ac:dyDescent="0.3">
      <c r="C44" t="s">
        <v>942</v>
      </c>
      <c r="D44" t="s">
        <v>941</v>
      </c>
      <c r="E44" t="s">
        <v>363</v>
      </c>
      <c r="F44" t="s">
        <v>908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885</v>
      </c>
      <c r="K44" t="s">
        <v>878</v>
      </c>
      <c r="L44" t="s">
        <v>879</v>
      </c>
    </row>
    <row r="45" spans="3:12" x14ac:dyDescent="0.3">
      <c r="C45" t="s">
        <v>943</v>
      </c>
      <c r="D45" t="s">
        <v>944</v>
      </c>
      <c r="E45" t="s">
        <v>862</v>
      </c>
      <c r="F45" t="s">
        <v>905</v>
      </c>
      <c r="G45" s="126">
        <v>29.3</v>
      </c>
      <c r="H45" s="126">
        <v>13.09</v>
      </c>
      <c r="I45" s="126">
        <f t="shared" si="0"/>
        <v>383.53699999999998</v>
      </c>
      <c r="J45" t="s">
        <v>877</v>
      </c>
      <c r="K45" t="s">
        <v>878</v>
      </c>
      <c r="L45" t="s">
        <v>890</v>
      </c>
    </row>
    <row r="46" spans="3:12" x14ac:dyDescent="0.3">
      <c r="C46" t="s">
        <v>945</v>
      </c>
      <c r="D46" t="s">
        <v>946</v>
      </c>
      <c r="E46" t="s">
        <v>371</v>
      </c>
      <c r="F46" t="s">
        <v>876</v>
      </c>
      <c r="G46" s="126">
        <v>26.42</v>
      </c>
      <c r="H46" s="126">
        <v>83.65</v>
      </c>
      <c r="I46" s="126">
        <f t="shared" si="0"/>
        <v>2210.0330000000004</v>
      </c>
      <c r="J46" t="s">
        <v>877</v>
      </c>
      <c r="K46" t="s">
        <v>886</v>
      </c>
      <c r="L46" t="s">
        <v>890</v>
      </c>
    </row>
    <row r="47" spans="3:12" x14ac:dyDescent="0.3">
      <c r="C47" t="s">
        <v>947</v>
      </c>
      <c r="D47" t="s">
        <v>948</v>
      </c>
      <c r="E47" t="s">
        <v>363</v>
      </c>
      <c r="F47" t="s">
        <v>893</v>
      </c>
      <c r="G47" s="126">
        <v>23.2</v>
      </c>
      <c r="H47" s="126">
        <v>45.11</v>
      </c>
      <c r="I47" s="126">
        <f t="shared" si="0"/>
        <v>1046.5519999999999</v>
      </c>
      <c r="J47" t="s">
        <v>885</v>
      </c>
      <c r="K47" t="s">
        <v>886</v>
      </c>
      <c r="L47" t="s">
        <v>879</v>
      </c>
    </row>
    <row r="48" spans="3:12" x14ac:dyDescent="0.3">
      <c r="C48" t="s">
        <v>949</v>
      </c>
      <c r="D48" t="s">
        <v>950</v>
      </c>
      <c r="E48" t="s">
        <v>363</v>
      </c>
      <c r="F48" t="s">
        <v>905</v>
      </c>
      <c r="G48" s="126">
        <v>62.9</v>
      </c>
      <c r="H48" s="126">
        <v>47.9</v>
      </c>
      <c r="I48" s="126">
        <f t="shared" si="0"/>
        <v>3012.91</v>
      </c>
      <c r="J48" t="s">
        <v>877</v>
      </c>
      <c r="K48" t="s">
        <v>886</v>
      </c>
      <c r="L48" t="s">
        <v>890</v>
      </c>
    </row>
    <row r="49" spans="3:12" x14ac:dyDescent="0.3">
      <c r="C49" t="s">
        <v>951</v>
      </c>
      <c r="D49" t="s">
        <v>952</v>
      </c>
      <c r="E49" t="s">
        <v>371</v>
      </c>
      <c r="F49" t="s">
        <v>905</v>
      </c>
      <c r="G49" s="126">
        <v>85.3</v>
      </c>
      <c r="H49" s="126">
        <v>24.14</v>
      </c>
      <c r="I49" s="126">
        <f t="shared" si="0"/>
        <v>2059.1419999999998</v>
      </c>
      <c r="J49" t="s">
        <v>877</v>
      </c>
      <c r="K49" t="s">
        <v>886</v>
      </c>
      <c r="L49" t="s">
        <v>879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K1" sqref="K1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954</v>
      </c>
    </row>
    <row r="2" spans="1:11" x14ac:dyDescent="0.3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955</v>
      </c>
      <c r="C101" s="73" t="s">
        <v>956</v>
      </c>
      <c r="D101" s="73" t="s">
        <v>953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954</v>
      </c>
    </row>
    <row r="3" spans="1:7" ht="24" thickBot="1" x14ac:dyDescent="0.4">
      <c r="A3" s="151" t="s">
        <v>957</v>
      </c>
      <c r="B3" s="152"/>
      <c r="C3" s="152"/>
      <c r="D3" s="152"/>
      <c r="E3" s="152"/>
      <c r="F3" s="152"/>
      <c r="G3" s="153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958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595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663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954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954</v>
      </c>
    </row>
    <row r="3" spans="1:21" ht="19.5" thickBot="1" x14ac:dyDescent="0.3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747</v>
      </c>
      <c r="L3" s="127" t="s">
        <v>959</v>
      </c>
      <c r="M3" s="127" t="s">
        <v>960</v>
      </c>
      <c r="N3" s="127" t="s">
        <v>961</v>
      </c>
      <c r="O3" s="127" t="s">
        <v>962</v>
      </c>
      <c r="Q3" t="s">
        <v>747</v>
      </c>
      <c r="R3" t="s">
        <v>959</v>
      </c>
      <c r="S3" t="s">
        <v>960</v>
      </c>
      <c r="T3" t="s">
        <v>961</v>
      </c>
      <c r="U3" t="s">
        <v>962</v>
      </c>
    </row>
    <row r="4" spans="1:21" x14ac:dyDescent="0.3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963</v>
      </c>
      <c r="L4" s="129">
        <v>99</v>
      </c>
      <c r="M4" s="129">
        <v>75</v>
      </c>
      <c r="N4" s="129">
        <v>69</v>
      </c>
      <c r="O4" s="129">
        <v>75</v>
      </c>
      <c r="Q4" t="s">
        <v>963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964</v>
      </c>
      <c r="L6" s="129">
        <v>41</v>
      </c>
      <c r="M6" s="129">
        <v>75</v>
      </c>
      <c r="N6" s="129">
        <v>41</v>
      </c>
      <c r="O6" s="129">
        <v>52</v>
      </c>
      <c r="Q6" t="s">
        <v>964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965</v>
      </c>
      <c r="L7" s="129">
        <v>23</v>
      </c>
      <c r="M7" s="129">
        <v>52</v>
      </c>
      <c r="N7" s="129">
        <v>11</v>
      </c>
      <c r="O7" s="129">
        <v>42</v>
      </c>
      <c r="Q7" t="s">
        <v>965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954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954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357</v>
      </c>
      <c r="B2" s="133" t="s">
        <v>84</v>
      </c>
      <c r="C2" t="s">
        <v>966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967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968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969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970</v>
      </c>
      <c r="C19">
        <v>18000</v>
      </c>
    </row>
    <row r="20" spans="1:3" x14ac:dyDescent="0.3">
      <c r="A20" t="s">
        <v>953</v>
      </c>
      <c r="B20" t="s">
        <v>90</v>
      </c>
      <c r="C20">
        <v>17500</v>
      </c>
    </row>
    <row r="21" spans="1:3" x14ac:dyDescent="0.3">
      <c r="A21" t="s">
        <v>971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972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973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974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975</v>
      </c>
      <c r="C41">
        <v>16872.117647058825</v>
      </c>
    </row>
    <row r="42" spans="1:3" x14ac:dyDescent="0.3">
      <c r="A42" t="s">
        <v>865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359</v>
      </c>
      <c r="B2" t="s">
        <v>966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865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966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953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865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391</v>
      </c>
    </row>
    <row r="4" spans="1:2" x14ac:dyDescent="0.3">
      <c r="A4" s="133" t="s">
        <v>359</v>
      </c>
      <c r="B4" t="s">
        <v>966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865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84</v>
      </c>
      <c r="B4" t="s">
        <v>966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397</v>
      </c>
    </row>
    <row r="4" spans="1:2" x14ac:dyDescent="0.3">
      <c r="A4" s="133" t="s">
        <v>359</v>
      </c>
      <c r="B4" t="s">
        <v>966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865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356</v>
      </c>
      <c r="B4" t="s">
        <v>966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485</v>
      </c>
    </row>
    <row r="4" spans="1:2" x14ac:dyDescent="0.3">
      <c r="A4" s="133" t="s">
        <v>356</v>
      </c>
      <c r="B4" t="s">
        <v>966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865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358</v>
      </c>
      <c r="B4" t="s">
        <v>966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325</v>
      </c>
    </row>
    <row r="4" spans="1:2" x14ac:dyDescent="0.3">
      <c r="A4" s="133" t="s">
        <v>359</v>
      </c>
      <c r="B4" t="s">
        <v>966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865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976</v>
      </c>
    </row>
    <row r="4" spans="2:3" x14ac:dyDescent="0.3">
      <c r="C4" s="133" t="s">
        <v>966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977</v>
      </c>
    </row>
    <row r="4" spans="2:13" x14ac:dyDescent="0.3">
      <c r="C4" s="133" t="s">
        <v>966</v>
      </c>
      <c r="D4" s="133" t="s">
        <v>357</v>
      </c>
    </row>
    <row r="5" spans="2:13" x14ac:dyDescent="0.3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953</v>
      </c>
      <c r="I5" t="s">
        <v>367</v>
      </c>
      <c r="J5" t="s">
        <v>384</v>
      </c>
      <c r="K5" t="s">
        <v>391</v>
      </c>
      <c r="L5" t="s">
        <v>363</v>
      </c>
      <c r="M5" t="s">
        <v>865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865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ASDC16</cp:lastModifiedBy>
  <cp:revision/>
  <dcterms:created xsi:type="dcterms:W3CDTF">2024-10-17T16:19:15Z</dcterms:created>
  <dcterms:modified xsi:type="dcterms:W3CDTF">2026-07-10T12:47:10Z</dcterms:modified>
  <cp:category>IRA Skills</cp:category>
  <cp:contentStatus/>
</cp:coreProperties>
</file>